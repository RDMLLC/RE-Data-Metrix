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EP ONE" sheetId="1" r:id="rId4"/>
    <sheet state="visible" name="STEP TWO" sheetId="2" r:id="rId5"/>
    <sheet state="visible" name="STEP THREE" sheetId="3" r:id="rId6"/>
    <sheet state="visible" name="STEP FOUR" sheetId="4" r:id="rId7"/>
    <sheet state="visible" name="STEP FIVE" sheetId="5" r:id="rId8"/>
    <sheet state="visible" name="STEP SIX" sheetId="6" r:id="rId9"/>
    <sheet state="visible" name="LOAN INFORMATION SHEET" sheetId="7" r:id="rId10"/>
    <sheet state="visible" name="LENDERS" sheetId="8" r:id="rId11"/>
    <sheet state="visible" name="UTILITY COSTS" sheetId="9" r:id="rId12"/>
    <sheet state="visible" name="INSURANCE COSTS" sheetId="10"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
      <text>
        <t xml:space="preserve">THIS STEP IS CALLED ESTIMATED TOTAL INVESTMENT IN STEP FOUR
	-Daniel Turro</t>
      </text>
    </comment>
  </commentList>
</comments>
</file>

<file path=xl/sharedStrings.xml><?xml version="1.0" encoding="utf-8"?>
<sst xmlns="http://schemas.openxmlformats.org/spreadsheetml/2006/main" count="393" uniqueCount="245">
  <si>
    <t>PROPERTY ADDRESS</t>
  </si>
  <si>
    <t>USER ENTERED</t>
  </si>
  <si>
    <t>BUTTON-CONTINUE</t>
  </si>
  <si>
    <t>MOVES TO STEP TWO</t>
  </si>
  <si>
    <t>FROM PREVIOUS SCREEN</t>
  </si>
  <si>
    <t>IF INCORRECT OR NOT FOUND, THE SYSTEM SUGGESTS THE CLOSEST MATCH</t>
  </si>
  <si>
    <t>BEDROOMS</t>
  </si>
  <si>
    <t>FROM PUBLIC RECORD</t>
  </si>
  <si>
    <t>CAN BE CHANGED</t>
  </si>
  <si>
    <t>BATHROOMS</t>
  </si>
  <si>
    <t>FINISHED SQUARE FOOTAGE</t>
  </si>
  <si>
    <t>YEAR BUILT</t>
  </si>
  <si>
    <t>CAN BE CHANGED- NOT CURRENTLY THERE</t>
  </si>
  <si>
    <t>TOGGLE Y/N</t>
  </si>
  <si>
    <t>WILL YOU BE ADDING SQUARE FOOTAGE</t>
  </si>
  <si>
    <t>IF Y, OPENS NEW BOX TO ENTER UPDATED SQUARE FOOTAGE</t>
  </si>
  <si>
    <t>MOVES TO STEP THREE</t>
  </si>
  <si>
    <t>PURCHASE PRICE</t>
  </si>
  <si>
    <t>REHAB BUDGET</t>
  </si>
  <si>
    <t>ARV</t>
  </si>
  <si>
    <t>PROJECT LENGTH</t>
  </si>
  <si>
    <t>DISPLAYED IN SUMMARY PANEL BELOW</t>
  </si>
  <si>
    <t>TOTAL PROJECT COST</t>
  </si>
  <si>
    <t>PURCHASE PRICE+REHAB BUDGET</t>
  </si>
  <si>
    <t>EXPECTED ARV</t>
  </si>
  <si>
    <t>AUTOFILL FROM ABOVE</t>
  </si>
  <si>
    <t>GROSS PROFIT</t>
  </si>
  <si>
    <t>ARV-TOTAL PROJECT COST</t>
  </si>
  <si>
    <t>PERCENTAGE OF ARV</t>
  </si>
  <si>
    <t>PROJECT COST \ ARV                            SHOWN AS A PERCENTAGE</t>
  </si>
  <si>
    <t>BUTTON- CONTINUE</t>
  </si>
  <si>
    <t>MOVES TO STEP FOUR</t>
  </si>
  <si>
    <t>FROM PREVIOUS ENTRY</t>
  </si>
  <si>
    <t>SUBTABLES</t>
  </si>
  <si>
    <t>PURCHASE PRICE +REHAB BUDGET</t>
  </si>
  <si>
    <t>ESTIMATED CLOSING COSTS(BUY)</t>
  </si>
  <si>
    <t>ATTORNEY FEES+DOC PREP FEE+TITLE EXAM+TITLE INSURANCE+LENDER POINTS (NOT DEFERRED)+DRAW FEES  NOTE THAT LENDER POINTS AND DRAW FEES WILL BE ZERO AT THIS STAGE BECAUSE IT IS BEING ANALYZED AS A CASH DEAL. BUT THE CALCULATION IS THE SAME AS THE NEXT STEP WHEN WE INSERT THE LOAN DATA IN.</t>
  </si>
  <si>
    <t>ATTORNEY FEES- AUTOFILL, CAN BE CHANGED</t>
  </si>
  <si>
    <t>DOC PREP FEES- AUTOFILL FROM THE LENDER INFORMATION SHEET, ALSO THE USER ENTERED LOAN, IF PRESENT</t>
  </si>
  <si>
    <t>TITLE EXAM- AUTOFILL, CAN BE CHANGED</t>
  </si>
  <si>
    <t>TITLE INSURANCE- AUTO CALCULATED, CAN BE CHANGED</t>
  </si>
  <si>
    <t>LENDER POINTS-BLANK UNTIL LENDERS ARE CHOSEN</t>
  </si>
  <si>
    <t>DRAW FEES- BLANK UNTIL A LENDER IS CHOSEN</t>
  </si>
  <si>
    <t>DEFAULT INPUTS / NOTES</t>
  </si>
  <si>
    <t>TOTAL INLINE WITH THIS TABLE- SUBTABLE TO THE RIGHT OF THE MAIN TABLE, GREYED OUT BUT EDITABLE</t>
  </si>
  <si>
    <t>PURCHASE PRICE X 1.2%</t>
  </si>
  <si>
    <t>ESTIMATED CARRYING COSTS</t>
  </si>
  <si>
    <t>HOA+HOA TRANSFER+PROPERTY TAX (ANNUAL TAX\12*MONTHS HELD)+INTEREST (BUY)+INTEREST(REHAB LOAN)+UTILITIES+INSURANCE. NOTE THAT THE INTEREST COSTS WILL BE ZERO AT THIS STAGE BECAUSE IT IS BEING ANALYZED AS A CASH DEAL. BUT THE CALCULATION IS THE SAME AS THE NEXT STEP WHEN WE INSERT THE LOAN DATA IN.</t>
  </si>
  <si>
    <t>HOA FEES - AUTOFILL, CAN BE CHANGED</t>
  </si>
  <si>
    <t>HOA TRANSFER FEE- WE PROBABLY CAN'T FIND THIS EASILY. IF HOA=YES, THEN HOA TRANSFER FEE=ONE MONTH HOA FEE. CAN BE CHANGED</t>
  </si>
  <si>
    <t>PROPERTY TAX = ANNUAL PROPERTY TAX \ 12 * MONTHS HELD</t>
  </si>
  <si>
    <t>TOTAL INTEREST-BUY = ANNUAL INTEREST RATE \ 12 * PURCHASE LOAN AMOUNT * MONTHS HELD</t>
  </si>
  <si>
    <t xml:space="preserve">TOTAL INTEREST- REHAB =REHAB LOAN INTEREST. THIS CAN BE MORE COMPLICATED IF THE LOAN IS DRAWN FUNDS ONLY. GET WITH ME ABOUT THE CALCULATION TABLE. </t>
  </si>
  <si>
    <t>UTILITIES = MONTHLY ESTIMATE (AUTOFILLED) * NUMBER OF MONTHS HELD</t>
  </si>
  <si>
    <t>INSURANCE = AUTOFILL ESTIMATED ANNUAL PREMIUM / 12 * NUMBER OF MONTHS HELD</t>
  </si>
  <si>
    <t>AUTOFILL /                   $0 IF NONE</t>
  </si>
  <si>
    <t>ONE MONTH HOA FEE /      $0 IF NONE</t>
  </si>
  <si>
    <t>FROM API X MONTHS HELD</t>
  </si>
  <si>
    <t>$0 AT THIS STAGE</t>
  </si>
  <si>
    <t>REFERENCE TAB UTILITY COSTS } STATE OF PROPERTY } AVE MONTHLY UTILITY COSTS X LENGTH OF PROJECT</t>
  </si>
  <si>
    <t>REFERENCE TAB } INSURANCE COSTS } STATE OF PROPERTY } ANNUAL INSURANCE COSTS X SQFT / 12 X LENGTH OF PROJECT</t>
  </si>
  <si>
    <t>ESTIMATED TOTAL INVESTMENT</t>
  </si>
  <si>
    <t xml:space="preserve">TOTAL LOAN AMOUNT+DOWN PAYMENT (THESE TWO EQUAL THE TOTAL PROJECT COST) +CLOSING COSTS+CARRYING COSTS: NOTE THAT THE AMOUNT WILL BE 100% OF THE PURCHASE PRICE + REHAB FOR A TRUE CASH SALE.  THIS IS OUR BASELINE PROFITABILITY USING NO OUTSIDE FUNDING. </t>
  </si>
  <si>
    <t>ESTIMATED SELL PRICE (ARV)</t>
  </si>
  <si>
    <t>USER ENTERED INITIALLY, WE'LL AUTOMATE IT SOON</t>
  </si>
  <si>
    <t>CLOSING COSTS (SELL)</t>
  </si>
  <si>
    <t>PREPOPULATED 1%, CAN BE CHANGED</t>
  </si>
  <si>
    <t>REAL ESTATE COMMISSION</t>
  </si>
  <si>
    <t>PREPOPULATED 6%, CAN BE CHANGED</t>
  </si>
  <si>
    <t>ESTIMATED PROFIT</t>
  </si>
  <si>
    <t>ESTIMATED SELL PRICE (ARV)-TOTAL INVESTMENT=CLOSING COSTS (SELL)-REAL ESTATE COMMISSION</t>
  </si>
  <si>
    <t>PERCENTAGE ARV</t>
  </si>
  <si>
    <t>TOTAL PROJECT COST / ESTIMATED SELL PRICE</t>
  </si>
  <si>
    <t>PERCENTAGE ARV (LENDER)</t>
  </si>
  <si>
    <t>TOTAL LOAN AMOUNT / ESTIMATED SELL PRICE. THIS WILL BE BLANK AT THIS STAGE</t>
  </si>
  <si>
    <t>ESTIMATED CASH ON CASH ROI</t>
  </si>
  <si>
    <t>ESTIMATED TOTAL INVESTMENT / ESTIMATED PROFIT</t>
  </si>
  <si>
    <t>ESTIMATED ANNUAL CASH ON CASH ROI</t>
  </si>
  <si>
    <t>ESTIMATED CASH ON CASH ROI \ (PROJECT LENGTH \ 12)</t>
  </si>
  <si>
    <t>BUTTON</t>
  </si>
  <si>
    <t>CLICK HERE TO GET LOAN INFORMATION (STEP 5)</t>
  </si>
  <si>
    <t>USER INPUT FIELD</t>
  </si>
  <si>
    <t>ARE YOU A NEW INVESTOR</t>
  </si>
  <si>
    <t>Y/N</t>
  </si>
  <si>
    <t>IF NO, FIELDS SHOW UP</t>
  </si>
  <si>
    <t>HOW MANY PROJECTS HAVE YOU COMPLETED IN THE LAST 12 MONTHS</t>
  </si>
  <si>
    <t>DROPDOWN WITH BRACKETS OF NUMBERS. I WILL PROVIDE DETAILS AFTER CONVERSATIONS WITH LENDERS.</t>
  </si>
  <si>
    <t>HOW MANY PROJECTS HAVE YOU COMPLETED IN THE LAST 36? MONTHS</t>
  </si>
  <si>
    <t>WHAT IS YOUR ESTIMATED CREDIT SCORE?</t>
  </si>
  <si>
    <t>ESTIMATED CREDIT SCORE TO BE ENTERED BY THE USER</t>
  </si>
  <si>
    <t>DROPDOWN SELECTION OF RANGES</t>
  </si>
  <si>
    <t xml:space="preserve">IS THIS A DOUBLE CLOSE? </t>
  </si>
  <si>
    <t>IS THE SELLER PURCHASING THE PROPERTY DURING THE SAME CLOSING SESSION AS THEY ARE SELLING?</t>
  </si>
  <si>
    <t>Y/N                                                                                                          ENTERED BY USER</t>
  </si>
  <si>
    <t>IF YES, FIELD "ARE YOU PAYING FOR BOTH SIDES?" SHOWS UP</t>
  </si>
  <si>
    <t>DOES THE SELLER PAY FOR THEIR CLOSING AND THE INVESTOR PAYS ONLY FOR THEIR SIDE, OR IS THE INVESTOR PAYING FOR BOTH SIDES?</t>
  </si>
  <si>
    <t xml:space="preserve">DO YOU HAVE A LOAN YOU ARE CURRENTLY LOOKING AT? </t>
  </si>
  <si>
    <t>Y/N                                                                                                          THIS FIELD WILL BE HERE BUT WILL GREYED OUT UNTIL THE USER ENTERS ADDRESSES THE PREVIOUS FIELDS.</t>
  </si>
  <si>
    <t>IF Y, THE FOLLOWING FIELDS SHOW UP</t>
  </si>
  <si>
    <t>MAX LEND / BUY</t>
  </si>
  <si>
    <t>MAXIMUM AMOUNT THEY LEND ON THE PURCHASE PRICE</t>
  </si>
  <si>
    <t>EXPRESSED AS A PERCENTAGE, ENTERED BY USER</t>
  </si>
  <si>
    <t>MAX LEND / REHAB</t>
  </si>
  <si>
    <t>MAXIMUM AMOUNT THEY LEND ON THE REHAB</t>
  </si>
  <si>
    <t>INTEREST RATE</t>
  </si>
  <si>
    <t>ANNUAL INTEREST RATE CHARGED ON THE LOAN</t>
  </si>
  <si>
    <t>INTEREST PAYMENTS DEFERRED?</t>
  </si>
  <si>
    <t>IS THE INTEREST DEFERRED, I.E. ARE INTEREST PAYMENTS WAIVED UNTIL THE LOAN IS SETTLED?</t>
  </si>
  <si>
    <t>DRAWN FUNDS ONLY?</t>
  </si>
  <si>
    <t>DOES THE LENDER ONLY CHARGE INTEREST STARTING WHEN THE FUNDS ARE RECEIVED BY THE INVESTOR?</t>
  </si>
  <si>
    <t>POINTS</t>
  </si>
  <si>
    <t>THE POINTS CHARGED BY THE LENDER</t>
  </si>
  <si>
    <t>POINTS DEFERRED?</t>
  </si>
  <si>
    <t>ARE THE POINTS DEFERRED UNTIL THE LOAN IS PAID OFF?</t>
  </si>
  <si>
    <t>MAX % LOAN TO ARV?</t>
  </si>
  <si>
    <t xml:space="preserve">WHAT IS THE MAXIMUM PERCENTAGE OF THE ARV THE LENDER WILL LOAN? </t>
  </si>
  <si>
    <t xml:space="preserve">APPRAISAL REQUIRED? </t>
  </si>
  <si>
    <t xml:space="preserve">MOST LENDERS REQUIRE AN APPRAISAL. THE INVESTOR PAYS THE APPRAISER DIRECTLY.  IF YES, ADD THE APPRAISAL FEE. I EXPECT WE WILL EITHER SIMPLY USE $700 OR WE CAN AUTO-FILL BASED ON A SEARCH BY ZIP CODE. </t>
  </si>
  <si>
    <t>DRAW FEES</t>
  </si>
  <si>
    <t xml:space="preserve">MANY LENDERS WILL CHARGE A FEE PER DRAW. </t>
  </si>
  <si>
    <t>EXPRESSED AS A DOLLAR AMOUNT, ENTERED BY USER</t>
  </si>
  <si>
    <t>DOC PREP FEES</t>
  </si>
  <si>
    <t xml:space="preserve">DIFFERENT LENDERS MIGHT CALL THIS DIFFERENT THINGS. IT CAN INCLUDE LAWYER FEES, DOCUMENT FEE, ETC. </t>
  </si>
  <si>
    <t>HOW FAST TO CLOSE?</t>
  </si>
  <si>
    <t xml:space="preserve">MOST LENDERS WILL BE 30 DAYS OR LESS. SOME COMMIT TO LESS TIME. </t>
  </si>
  <si>
    <t>DROP DOWN SHOWING BRACKETED SELECTIONS</t>
  </si>
  <si>
    <t xml:space="preserve">BUTTON </t>
  </si>
  <si>
    <t>TAKE ME TO MY LENDERS AND LOAN ANALYSIS (STEP SIX)</t>
  </si>
  <si>
    <t>NOTE THAT ALL FIELDS IN BOLD/ITALICS ABOVE ARE THE FIELDS THAT WILL BE ON THE LENDER INFORMATION SHEET, FROM WHICH THE SYSTEM WILL SELECT LENDERS TO PRESENT. THE SYSTEM WILL AUTOFILL THESE FIELDS FROM THE LENDER INFORMATION SHEET ON THE LENDER COMPARISON PAGE</t>
  </si>
  <si>
    <t>SOURCE</t>
  </si>
  <si>
    <t>FIELD SHOWN</t>
  </si>
  <si>
    <t>CASH SALE- FROM STEP FOUR</t>
  </si>
  <si>
    <t>LENDER 0  USER ENTERED LOAN PRODUCT IF PRESENTED</t>
  </si>
  <si>
    <t>LENDER 1</t>
  </si>
  <si>
    <t>LENDER 2</t>
  </si>
  <si>
    <t>LENDER 3</t>
  </si>
  <si>
    <t>LENDER 4</t>
  </si>
  <si>
    <t>LENDER 5</t>
  </si>
  <si>
    <t>LENDER 6</t>
  </si>
  <si>
    <t>FROM USER ENTRY</t>
  </si>
  <si>
    <t>SYSTEM CALCULATION</t>
  </si>
  <si>
    <t>REFER TO STEP FOUR</t>
  </si>
  <si>
    <t>ESTIMATED CLOSING COSTS (BUY)</t>
  </si>
  <si>
    <t>ESTIMATED CLOSING COSTS (SELL)</t>
  </si>
  <si>
    <t>ESTIMATED OUT OF POCKET COST</t>
  </si>
  <si>
    <t>ESTIMATED ANNUALIZED CASH ON CASH ROI</t>
  </si>
  <si>
    <t>BUTTONS</t>
  </si>
  <si>
    <t>CLICK HERE TO APPLY</t>
  </si>
  <si>
    <t>PRESENT THREE LOAN PRODUCTS. THERE WILL BE FOUR IF THE USER ENTERED A LOAN PRODUCT ON THE PREVIOUS STEP</t>
  </si>
  <si>
    <t>BUTTON- CLICK HERE TO VIEW MORE LOANS</t>
  </si>
  <si>
    <t xml:space="preserve">IF CLICKED, PRESENT ANOTHER THREE LOAN PRODUCTS, ADDING THEM TO THE EXISTING LIST. </t>
  </si>
  <si>
    <t>WHEN A USER CLICKS TO APPLY, THAT LENDER WILL RECEIVE AN AUTOMATED EMAIL ALERTING THEM TO THE REFERRAL</t>
  </si>
  <si>
    <t>ALL LENDERS WILL RECEIVE AN EMAIL WHEN THEY HAVE BEEN PRESENTED TO A USER, WHETHER THEY CLICK TO APPLY OR NOT.</t>
  </si>
  <si>
    <t>LENDER NAME</t>
  </si>
  <si>
    <t>LENDER/LOAN PROGRAM 1</t>
  </si>
  <si>
    <t>LENDER / LOAN PROGRAM 2</t>
  </si>
  <si>
    <t>LENDER/LOAN PROGRAM 3</t>
  </si>
  <si>
    <t>LENDER / LOAN PROGRAM 4</t>
  </si>
  <si>
    <t>LENDER/LOAN PROGRAM 5</t>
  </si>
  <si>
    <t>LENDER / LOAN PROGRAM 6</t>
  </si>
  <si>
    <t>LENDER/LOAN PROGRAM 7</t>
  </si>
  <si>
    <t>LENDER / LOAN PROGRAM 8</t>
  </si>
  <si>
    <t>LENDER/LOAN PROGRAM 9</t>
  </si>
  <si>
    <t>LENDER / LOAN PROGRAM 10</t>
  </si>
  <si>
    <t>LENDER CONTACT NAME</t>
  </si>
  <si>
    <t>EMAIL ADDRESS</t>
  </si>
  <si>
    <t>PHONE NUMBER</t>
  </si>
  <si>
    <t>COMPENSATION (%/$)</t>
  </si>
  <si>
    <t>DETAILS / NOTES</t>
  </si>
  <si>
    <t>LOAN PROGRAM</t>
  </si>
  <si>
    <t>NEW INVESTOR OK?</t>
  </si>
  <si>
    <t>MINIMUM CREDIT SCORE?</t>
  </si>
  <si>
    <t>DEFERRED?</t>
  </si>
  <si>
    <t>ESTIMATED APPRAISAL FEE</t>
  </si>
  <si>
    <t>DESKTOP APPRAISAL?</t>
  </si>
  <si>
    <t>DESKTOP APPRAISAL FEE</t>
  </si>
  <si>
    <t>LENDER</t>
  </si>
  <si>
    <t>METRO FLIPPERS INVESTMENTS</t>
  </si>
  <si>
    <t>GROUDFLOOR LENDING</t>
  </si>
  <si>
    <t>KIAVI</t>
  </si>
  <si>
    <t>WEBSITE</t>
  </si>
  <si>
    <t>https://metroflippersinvestments.com/</t>
  </si>
  <si>
    <t>https://lending.groundfloor.com/</t>
  </si>
  <si>
    <t>https://www.kiavi.com/</t>
  </si>
  <si>
    <t>TRUSTPILOT SCORE</t>
  </si>
  <si>
    <t>NO REVIEWS</t>
  </si>
  <si>
    <t>POOR 2.6/5</t>
  </si>
  <si>
    <t>4.7/5</t>
  </si>
  <si>
    <t>SCAM ADVISOR SCORE</t>
  </si>
  <si>
    <t>HIGH RISK / 16</t>
  </si>
  <si>
    <t>51/100</t>
  </si>
  <si>
    <t>100/100</t>
  </si>
  <si>
    <t>COMPENSATION</t>
  </si>
  <si>
    <t>POF PROVIDED?</t>
  </si>
  <si>
    <t>State</t>
  </si>
  <si>
    <t>Avg Monthly Utility Cost</t>
  </si>
  <si>
    <t>Price per Sq Ft/mo</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</si>
  <si>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</si>
  <si>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</si>
  <si>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</si>
  <si>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</si>
  <si>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</si>
  <si>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</si>
  <si>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</si>
  <si>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</si>
  <si>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</si>
  <si>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</si>
  <si>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</si>
  <si>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</si>
  <si>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</si>
  <si>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</si>
  <si>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</si>
  <si>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</si>
  <si>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</si>
  <si>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</si>
  <si>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</si>
  <si>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</si>
  <si>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</si>
  <si>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</si>
  <si>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</si>
  <si>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</si>
  <si>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</si>
  <si>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</si>
  <si>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</si>
  <si>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</si>
  <si>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</si>
  <si>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</si>
  <si>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</si>
  <si>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</si>
  <si>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</si>
  <si>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</si>
  <si>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</si>
  <si>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</si>
  <si>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</si>
  <si>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</si>
  <si>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</si>
  <si>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</si>
  <si>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</si>
  <si>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</si>
  <si>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</si>
  <si>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</si>
  <si>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</si>
  <si>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</si>
  <si>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</si>
  <si>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Est. Cost/Sq Ft/Year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</si>
</sst>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10">
    <font>
      <sz val="10.0"/>
      <color rgb="FF000000"/>
      <name val="Arial"/>
      <scheme val="minor"/>
    </font>
    <font>
      <color theme="1"/>
      <name val="Arial"/>
      <scheme val="minor"/>
    </font>
    <font>
      <b/>
      <sz val="15.0"/>
      <color theme="1"/>
      <name val="Arial"/>
      <scheme val="minor"/>
    </font>
    <font>
      <color rgb="FFB7B7B7"/>
      <name val="Arial"/>
      <scheme val="minor"/>
    </font>
    <font>
      <sz val="7.0"/>
      <color theme="1"/>
      <name val="Arial"/>
      <scheme val="minor"/>
    </font>
    <font>
      <b/>
      <i/>
      <color theme="1"/>
      <name val="Arial"/>
      <scheme val="minor"/>
    </font>
    <font/>
    <font>
      <b/>
      <color theme="1"/>
      <name val="Arial"/>
      <scheme val="minor"/>
    </font>
    <font>
      <u/>
      <color rgb="FF0000FF"/>
    </font>
    <font>
      <b/>
      <color rgb="FF4D4D4C"/>
      <name val="Arial"/>
    </font>
  </fonts>
  <fills count="2">
    <fill>
      <patternFill patternType="none"/>
    </fill>
    <fill>
      <patternFill patternType="lightGray"/>
    </fill>
  </fills>
  <borders count="28">
    <border/>
    <border>
      <left style="thick">
        <color rgb="FF000000"/>
      </left>
      <right style="thick">
        <color rgb="FF000000"/>
      </right>
      <top style="thick">
        <color rgb="FF000000"/>
      </top>
      <bottom style="thick">
        <color rgb="FF000000"/>
      </bottom>
    </border>
    <border>
      <left style="thick">
        <color rgb="FFCC0000"/>
      </left>
      <right style="thick">
        <color rgb="FFCC0000"/>
      </right>
      <top style="thick">
        <color rgb="FFCC0000"/>
      </top>
      <bottom style="thick">
        <color rgb="FFCC0000"/>
      </bottom>
    </border>
    <border>
      <left style="thick">
        <color rgb="FF000000"/>
      </left>
      <top style="thick">
        <color rgb="FF000000"/>
      </top>
      <bottom style="thick">
        <color rgb="FF000000"/>
      </bottom>
    </border>
    <border>
      <left style="thick">
        <color rgb="FF990000"/>
      </left>
      <right style="thick">
        <color rgb="FF990000"/>
      </right>
      <top style="thick">
        <color rgb="FF990000"/>
      </top>
      <bottom style="thick">
        <color rgb="FF99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ck">
        <color rgb="FF741B47"/>
      </left>
      <right style="thick">
        <color rgb="FF741B47"/>
      </right>
      <top style="thick">
        <color rgb="FF741B47"/>
      </top>
      <bottom style="thick">
        <color rgb="FF741B47"/>
      </bottom>
    </border>
    <border>
      <right style="thick">
        <color rgb="FF000000"/>
      </right>
      <top style="thin">
        <color rgb="FF000000"/>
      </top>
      <bottom style="thin">
        <color rgb="FF000000"/>
      </bottom>
    </border>
    <border>
      <right style="thick">
        <color rgb="FF000000"/>
      </right>
      <top style="thin">
        <color rgb="FF000000"/>
      </top>
      <bottom style="thick">
        <color rgb="FF000000"/>
      </bottom>
    </border>
    <border>
      <left style="thick">
        <color rgb="FF741B47"/>
      </left>
      <top style="thick">
        <color rgb="FF741B47"/>
      </top>
      <bottom style="thick">
        <color rgb="FF741B47"/>
      </bottom>
    </border>
    <border>
      <top style="thick">
        <color rgb="FF741B47"/>
      </top>
      <bottom style="thick">
        <color rgb="FF741B47"/>
      </bottom>
    </border>
    <border>
      <right style="thick">
        <color rgb="FF741B47"/>
      </right>
      <top style="thick">
        <color rgb="FF741B47"/>
      </top>
      <bottom style="thick">
        <color rgb="FF741B47"/>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border>
    <border>
      <right style="thick">
        <color rgb="FF000000"/>
      </right>
    </border>
    <border>
      <left style="thin">
        <color rgb="FF000000"/>
      </left>
      <right style="thick">
        <color rgb="FF000000"/>
      </right>
      <top style="thin">
        <color rgb="FF000000"/>
      </top>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0" fontId="1" numFmtId="0" xfId="0" applyAlignment="1" applyBorder="1" applyFont="1">
      <alignment readingOrder="0"/>
    </xf>
    <xf borderId="0" fillId="0" fontId="1" numFmtId="0" xfId="0" applyAlignment="1" applyFont="1">
      <alignment vertical="center"/>
    </xf>
    <xf borderId="1" fillId="0" fontId="1" numFmtId="0" xfId="0" applyAlignment="1" applyBorder="1" applyFont="1">
      <alignment readingOrder="0" vertical="center"/>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xf>
    <xf borderId="0" fillId="0" fontId="1" numFmtId="0" xfId="0" applyAlignment="1" applyFont="1">
      <alignment readingOrder="0"/>
    </xf>
    <xf borderId="2" fillId="0" fontId="2" numFmtId="0" xfId="0" applyAlignment="1" applyBorder="1" applyFont="1">
      <alignment readingOrder="0" vertical="center"/>
    </xf>
    <xf borderId="0" fillId="0" fontId="1" numFmtId="0" xfId="0" applyAlignment="1" applyFont="1">
      <alignment horizontal="left" readingOrder="0" vertical="center"/>
    </xf>
    <xf borderId="1" fillId="0" fontId="1" numFmtId="0" xfId="0" applyAlignment="1" applyBorder="1" applyFont="1">
      <alignment horizontal="left" readingOrder="0" vertical="center"/>
    </xf>
    <xf borderId="1" fillId="0" fontId="1" numFmtId="0" xfId="0" applyAlignment="1" applyBorder="1" applyFont="1">
      <alignment horizontal="left" readingOrder="0" shrinkToFit="0" vertical="center" wrapText="1"/>
    </xf>
    <xf borderId="0" fillId="0" fontId="1" numFmtId="0" xfId="0" applyAlignment="1" applyFont="1">
      <alignment horizontal="left" vertical="center"/>
    </xf>
    <xf borderId="0" fillId="0" fontId="1" numFmtId="0" xfId="0" applyAlignment="1" applyFont="1">
      <alignment readingOrder="0" vertical="center"/>
    </xf>
    <xf borderId="3" fillId="0" fontId="1" numFmtId="0" xfId="0" applyAlignment="1" applyBorder="1" applyFont="1">
      <alignment readingOrder="0" shrinkToFit="0" vertical="center" wrapText="1"/>
    </xf>
    <xf borderId="4" fillId="0" fontId="1"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4" fillId="0" fontId="1" numFmtId="164" xfId="0" applyAlignment="1" applyBorder="1" applyFont="1" applyNumberFormat="1">
      <alignment horizontal="center" readingOrder="0" shrinkToFit="0" vertical="center" wrapText="1"/>
    </xf>
    <xf borderId="4" fillId="0" fontId="1" numFmtId="164" xfId="0" applyAlignment="1" applyBorder="1" applyFont="1" applyNumberFormat="1">
      <alignment readingOrder="0" shrinkToFit="0" vertical="center" wrapText="1"/>
    </xf>
    <xf borderId="4" fillId="0" fontId="4" numFmtId="0" xfId="0" applyAlignment="1" applyBorder="1" applyFont="1">
      <alignment horizontal="left" readingOrder="0" shrinkToFit="0" vertical="center" wrapText="1"/>
    </xf>
    <xf borderId="5" fillId="0" fontId="1" numFmtId="0" xfId="0" applyAlignment="1" applyBorder="1" applyFont="1">
      <alignment readingOrder="0" vertical="center"/>
    </xf>
    <xf borderId="6" fillId="0" fontId="1" numFmtId="0" xfId="0" applyAlignment="1" applyBorder="1" applyFont="1">
      <alignment readingOrder="0" vertical="center"/>
    </xf>
    <xf borderId="7" fillId="0" fontId="1" numFmtId="0" xfId="0" applyAlignment="1" applyBorder="1" applyFont="1">
      <alignment horizontal="center" readingOrder="0" vertical="center"/>
    </xf>
    <xf borderId="8" fillId="0" fontId="1" numFmtId="0" xfId="0" applyAlignment="1" applyBorder="1" applyFont="1">
      <alignment readingOrder="0" vertical="center"/>
    </xf>
    <xf borderId="9" fillId="0" fontId="1" numFmtId="0" xfId="0" applyAlignment="1" applyBorder="1" applyFont="1">
      <alignment readingOrder="0" vertical="center"/>
    </xf>
    <xf borderId="10" fillId="0" fontId="1" numFmtId="0" xfId="0" applyAlignment="1" applyBorder="1" applyFont="1">
      <alignment horizontal="center" readingOrder="0" shrinkToFit="0" vertical="center" wrapText="1"/>
    </xf>
    <xf borderId="9" fillId="0" fontId="1" numFmtId="0" xfId="0" applyAlignment="1" applyBorder="1" applyFont="1">
      <alignment readingOrder="0" shrinkToFit="0" vertical="center" wrapText="1"/>
    </xf>
    <xf borderId="8" fillId="0" fontId="1" numFmtId="0" xfId="0" applyAlignment="1" applyBorder="1" applyFont="1">
      <alignment readingOrder="0" shrinkToFit="0" vertical="center" wrapText="1"/>
    </xf>
    <xf borderId="11" fillId="0" fontId="1" numFmtId="0" xfId="0" applyAlignment="1" applyBorder="1" applyFont="1">
      <alignment readingOrder="0" vertical="center"/>
    </xf>
    <xf borderId="12" fillId="0" fontId="1" numFmtId="0" xfId="0" applyAlignment="1" applyBorder="1" applyFont="1">
      <alignment vertical="center"/>
    </xf>
    <xf borderId="10" fillId="0" fontId="1" numFmtId="0" xfId="0" applyAlignment="1" applyBorder="1" applyFont="1">
      <alignment vertical="center"/>
    </xf>
    <xf borderId="13" fillId="0" fontId="5" numFmtId="0" xfId="0" applyAlignment="1" applyBorder="1" applyFont="1">
      <alignment readingOrder="0" vertical="center"/>
    </xf>
    <xf borderId="14" fillId="0" fontId="1" numFmtId="0" xfId="0" applyAlignment="1" applyBorder="1" applyFont="1">
      <alignment readingOrder="0" vertical="center"/>
    </xf>
    <xf borderId="13" fillId="0" fontId="5" numFmtId="0" xfId="0" applyAlignment="1" applyBorder="1" applyFont="1">
      <alignment readingOrder="0" shrinkToFit="0" vertical="center" wrapText="1"/>
    </xf>
    <xf borderId="14" fillId="0" fontId="1" numFmtId="0" xfId="0" applyAlignment="1" applyBorder="1" applyFont="1">
      <alignment horizontal="center" readingOrder="0" shrinkToFit="0" vertical="center" wrapText="1"/>
    </xf>
    <xf borderId="15" fillId="0" fontId="1" numFmtId="0" xfId="0" applyAlignment="1" applyBorder="1" applyFont="1">
      <alignment readingOrder="0" vertical="center"/>
    </xf>
    <xf borderId="16" fillId="0" fontId="5" numFmtId="0" xfId="0" applyAlignment="1" applyBorder="1" applyFont="1">
      <alignment readingOrder="0" shrinkToFit="0" wrapText="1"/>
    </xf>
    <xf borderId="17" fillId="0" fontId="6" numFmtId="0" xfId="0" applyBorder="1" applyFont="1"/>
    <xf borderId="18" fillId="0" fontId="6" numFmtId="0" xfId="0" applyBorder="1" applyFont="1"/>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vertical="center"/>
    </xf>
    <xf borderId="0" fillId="0" fontId="7" numFmtId="0" xfId="0" applyAlignment="1" applyFont="1">
      <alignment horizontal="center" readingOrder="0" shrinkToFit="0" vertical="center" wrapText="1"/>
    </xf>
    <xf borderId="0" fillId="0" fontId="7" numFmtId="0" xfId="0" applyAlignment="1" applyFont="1">
      <alignment readingOrder="0"/>
    </xf>
    <xf borderId="0" fillId="0" fontId="1" numFmtId="0" xfId="0" applyAlignment="1" applyFont="1">
      <alignment readingOrder="0" shrinkToFit="0" wrapText="1"/>
    </xf>
    <xf borderId="1" fillId="0" fontId="7" numFmtId="0" xfId="0" applyAlignment="1" applyBorder="1" applyFont="1">
      <alignment horizontal="center" readingOrder="0" vertical="center"/>
    </xf>
    <xf borderId="1" fillId="0" fontId="7" numFmtId="0" xfId="0" applyAlignment="1" applyBorder="1" applyFont="1">
      <alignment horizontal="center" readingOrder="0" shrinkToFit="0" vertical="center" wrapText="1"/>
    </xf>
    <xf borderId="0" fillId="0" fontId="7" numFmtId="0" xfId="0" applyAlignment="1" applyFont="1">
      <alignment horizontal="center" vertical="center"/>
    </xf>
    <xf borderId="19" fillId="0" fontId="7" numFmtId="0" xfId="0" applyAlignment="1" applyBorder="1" applyFont="1">
      <alignment readingOrder="0"/>
    </xf>
    <xf borderId="20" fillId="0" fontId="1" numFmtId="0" xfId="0" applyBorder="1" applyFont="1"/>
    <xf borderId="21" fillId="0" fontId="1" numFmtId="0" xfId="0" applyBorder="1" applyFont="1"/>
    <xf borderId="8" fillId="0" fontId="7" numFmtId="0" xfId="0" applyAlignment="1" applyBorder="1" applyFont="1">
      <alignment readingOrder="0"/>
    </xf>
    <xf borderId="9" fillId="0" fontId="1" numFmtId="0" xfId="0" applyBorder="1" applyFont="1"/>
    <xf borderId="10" fillId="0" fontId="1" numFmtId="0" xfId="0" applyBorder="1" applyFont="1"/>
    <xf borderId="22" fillId="0" fontId="7" numFmtId="0" xfId="0" applyAlignment="1" applyBorder="1" applyFont="1">
      <alignment readingOrder="0"/>
    </xf>
    <xf borderId="23" fillId="0" fontId="1" numFmtId="0" xfId="0" applyBorder="1" applyFont="1"/>
    <xf borderId="24" fillId="0" fontId="1" numFmtId="0" xfId="0" applyBorder="1" applyFont="1"/>
    <xf borderId="25" fillId="0" fontId="7" numFmtId="0" xfId="0" applyAlignment="1" applyBorder="1" applyFont="1">
      <alignment readingOrder="0"/>
    </xf>
    <xf borderId="26" fillId="0" fontId="1" numFmtId="0" xfId="0" applyBorder="1" applyFont="1"/>
    <xf borderId="0" fillId="0" fontId="8" numFmtId="0" xfId="0" applyAlignment="1" applyFont="1">
      <alignment readingOrder="0"/>
    </xf>
    <xf borderId="11" fillId="0" fontId="7" numFmtId="0" xfId="0" applyAlignment="1" applyBorder="1" applyFont="1">
      <alignment readingOrder="0"/>
    </xf>
    <xf borderId="12" fillId="0" fontId="1" numFmtId="0" xfId="0" applyBorder="1" applyFont="1"/>
    <xf borderId="27" fillId="0" fontId="1" numFmtId="0" xfId="0" applyBorder="1" applyFont="1"/>
    <xf borderId="0" fillId="0" fontId="9" numFmtId="0" xfId="0" applyAlignment="1" applyFont="1">
      <alignment horizontal="center" readingOrder="0" vertical="center"/>
    </xf>
    <xf borderId="0" fillId="0" fontId="1" numFmtId="1" xfId="0" applyFont="1" applyNumberFormat="1"/>
    <xf borderId="0" fillId="0" fontId="1" numFmtId="165" xfId="0" applyFont="1" applyNumberFormat="1"/>
    <xf borderId="0" fillId="0" fontId="7" numFmtId="0" xfId="0" applyAlignment="1" applyFont="1">
      <alignment horizontal="center" readingOrder="0" vertical="center"/>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etroflippersinvestments.com/" TargetMode="External"/><Relationship Id="rId2" Type="http://schemas.openxmlformats.org/officeDocument/2006/relationships/hyperlink" Target="https://lending.groundfloor.com/" TargetMode="External"/><Relationship Id="rId3" Type="http://schemas.openxmlformats.org/officeDocument/2006/relationships/hyperlink" Target="https://www.kiavi.co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4.25"/>
    <col customWidth="1" min="3" max="3" width="28.88"/>
  </cols>
  <sheetData>
    <row r="2">
      <c r="B2" s="1" t="s">
        <v>0</v>
      </c>
      <c r="C2" s="1" t="s">
        <v>1</v>
      </c>
    </row>
    <row r="4">
      <c r="B4" s="1" t="s">
        <v>2</v>
      </c>
      <c r="C4" s="1"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3" max="3" width="35.38"/>
    <col customWidth="1" min="4" max="4" width="39.25"/>
  </cols>
  <sheetData>
    <row r="3" ht="28.5" customHeight="1">
      <c r="A3" s="2"/>
      <c r="B3" s="3" t="s">
        <v>0</v>
      </c>
      <c r="C3" s="3" t="s">
        <v>4</v>
      </c>
      <c r="D3" s="4" t="s">
        <v>5</v>
      </c>
      <c r="E3" s="2"/>
      <c r="F3" s="2"/>
      <c r="G3" s="2"/>
      <c r="H3" s="2"/>
      <c r="I3" s="2"/>
      <c r="J3" s="2"/>
      <c r="K3" s="2"/>
      <c r="L3" s="2"/>
      <c r="M3" s="2"/>
      <c r="N3" s="2"/>
      <c r="O3" s="2"/>
      <c r="P3" s="2"/>
      <c r="Q3" s="2"/>
      <c r="R3" s="2"/>
      <c r="S3" s="2"/>
      <c r="T3" s="2"/>
      <c r="U3" s="2"/>
      <c r="V3" s="2"/>
      <c r="W3" s="2"/>
      <c r="X3" s="2"/>
      <c r="Y3" s="2"/>
      <c r="Z3" s="2"/>
    </row>
    <row r="4" ht="28.5" customHeight="1">
      <c r="B4" s="1" t="s">
        <v>6</v>
      </c>
      <c r="C4" s="1" t="s">
        <v>7</v>
      </c>
      <c r="D4" s="1" t="s">
        <v>8</v>
      </c>
    </row>
    <row r="5" ht="28.5" customHeight="1">
      <c r="B5" s="1" t="s">
        <v>9</v>
      </c>
      <c r="C5" s="1" t="s">
        <v>7</v>
      </c>
      <c r="D5" s="1" t="s">
        <v>8</v>
      </c>
    </row>
    <row r="6" ht="28.5" customHeight="1">
      <c r="B6" s="1" t="s">
        <v>10</v>
      </c>
      <c r="C6" s="1" t="s">
        <v>7</v>
      </c>
      <c r="D6" s="1" t="s">
        <v>8</v>
      </c>
    </row>
    <row r="7" ht="28.5" customHeight="1">
      <c r="B7" s="1" t="s">
        <v>11</v>
      </c>
      <c r="C7" s="1" t="s">
        <v>7</v>
      </c>
      <c r="D7" s="1" t="s">
        <v>12</v>
      </c>
    </row>
    <row r="8" ht="28.5" customHeight="1">
      <c r="A8" s="2"/>
      <c r="B8" s="3" t="s">
        <v>13</v>
      </c>
      <c r="C8" s="3" t="s">
        <v>14</v>
      </c>
      <c r="D8" s="4" t="s">
        <v>15</v>
      </c>
      <c r="E8" s="2"/>
      <c r="F8" s="2"/>
      <c r="G8" s="2"/>
      <c r="H8" s="2"/>
      <c r="I8" s="2"/>
      <c r="J8" s="2"/>
      <c r="K8" s="2"/>
      <c r="L8" s="2"/>
      <c r="M8" s="2"/>
      <c r="N8" s="2"/>
      <c r="O8" s="2"/>
      <c r="P8" s="2"/>
      <c r="Q8" s="2"/>
      <c r="R8" s="2"/>
      <c r="S8" s="2"/>
      <c r="T8" s="2"/>
      <c r="U8" s="2"/>
      <c r="V8" s="2"/>
      <c r="W8" s="2"/>
      <c r="X8" s="2"/>
      <c r="Y8" s="2"/>
      <c r="Z8" s="2"/>
    </row>
    <row r="10" ht="29.25" customHeight="1">
      <c r="A10" s="2"/>
      <c r="B10" s="3" t="s">
        <v>2</v>
      </c>
      <c r="C10" s="3" t="s">
        <v>16</v>
      </c>
      <c r="D10" s="2"/>
      <c r="E10" s="2"/>
      <c r="F10" s="2"/>
      <c r="G10" s="2"/>
      <c r="H10" s="2"/>
      <c r="I10" s="2"/>
      <c r="J10" s="2"/>
      <c r="K10" s="2"/>
      <c r="L10" s="2"/>
      <c r="M10" s="2"/>
      <c r="N10" s="2"/>
      <c r="O10" s="2"/>
      <c r="P10" s="2"/>
      <c r="Q10" s="2"/>
      <c r="R10" s="2"/>
      <c r="S10" s="2"/>
      <c r="T10" s="2"/>
      <c r="U10" s="2"/>
      <c r="V10" s="2"/>
      <c r="W10" s="2"/>
      <c r="X10" s="2"/>
      <c r="Y10" s="2"/>
      <c r="Z1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0.75"/>
    <col customWidth="1" min="3" max="3" width="30.38"/>
  </cols>
  <sheetData>
    <row r="2">
      <c r="B2" s="1" t="s">
        <v>17</v>
      </c>
      <c r="C2" s="5" t="s">
        <v>1</v>
      </c>
    </row>
    <row r="3">
      <c r="B3" s="1" t="s">
        <v>18</v>
      </c>
      <c r="C3" s="5" t="s">
        <v>1</v>
      </c>
    </row>
    <row r="4">
      <c r="B4" s="1" t="s">
        <v>19</v>
      </c>
      <c r="C4" s="5" t="s">
        <v>1</v>
      </c>
    </row>
    <row r="5">
      <c r="B5" s="1" t="s">
        <v>20</v>
      </c>
      <c r="C5" s="5" t="s">
        <v>1</v>
      </c>
    </row>
    <row r="6">
      <c r="B6" s="6"/>
    </row>
    <row r="7">
      <c r="B7" s="6" t="s">
        <v>21</v>
      </c>
    </row>
    <row r="8">
      <c r="B8" s="1" t="s">
        <v>22</v>
      </c>
      <c r="C8" s="1" t="s">
        <v>23</v>
      </c>
    </row>
    <row r="9">
      <c r="B9" s="1" t="s">
        <v>24</v>
      </c>
      <c r="C9" s="1" t="s">
        <v>25</v>
      </c>
    </row>
    <row r="10">
      <c r="B10" s="1" t="s">
        <v>26</v>
      </c>
      <c r="C10" s="1" t="s">
        <v>27</v>
      </c>
    </row>
    <row r="11">
      <c r="A11" s="2"/>
      <c r="B11" s="3" t="s">
        <v>28</v>
      </c>
      <c r="C11" s="4" t="s">
        <v>29</v>
      </c>
      <c r="D11" s="2"/>
      <c r="E11" s="2"/>
      <c r="F11" s="2"/>
      <c r="G11" s="2"/>
      <c r="H11" s="2"/>
      <c r="I11" s="2"/>
      <c r="J11" s="2"/>
      <c r="K11" s="2"/>
      <c r="L11" s="2"/>
      <c r="M11" s="2"/>
      <c r="N11" s="2"/>
      <c r="O11" s="2"/>
      <c r="P11" s="2"/>
      <c r="Q11" s="2"/>
      <c r="R11" s="2"/>
      <c r="S11" s="2"/>
      <c r="T11" s="2"/>
      <c r="U11" s="2"/>
      <c r="V11" s="2"/>
      <c r="W11" s="2"/>
      <c r="X11" s="2"/>
      <c r="Y11" s="2"/>
      <c r="Z11" s="2"/>
    </row>
    <row r="13">
      <c r="B13" s="1" t="s">
        <v>30</v>
      </c>
      <c r="C13" s="1" t="s">
        <v>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13"/>
    <col customWidth="1" min="2" max="2" width="35.38"/>
    <col customWidth="1" min="3" max="3" width="70.88"/>
    <col customWidth="1" min="4" max="4" width="17.38"/>
    <col customWidth="1" min="5" max="5" width="23.75"/>
    <col customWidth="1" min="6" max="7" width="17.38"/>
    <col customWidth="1" min="8" max="8" width="21.5"/>
    <col customWidth="1" min="9" max="27" width="17.38"/>
  </cols>
  <sheetData>
    <row r="1" ht="23.25" customHeight="1"/>
    <row r="2" ht="23.25" customHeight="1">
      <c r="A2" s="2"/>
      <c r="B2" s="3" t="s">
        <v>17</v>
      </c>
      <c r="C2" s="3" t="s">
        <v>32</v>
      </c>
      <c r="D2" s="2"/>
      <c r="E2" s="2"/>
      <c r="F2" s="2"/>
      <c r="G2" s="7" t="s">
        <v>33</v>
      </c>
      <c r="H2" s="2"/>
      <c r="I2" s="2"/>
      <c r="J2" s="2"/>
      <c r="K2" s="2"/>
      <c r="L2" s="2"/>
      <c r="M2" s="2"/>
      <c r="N2" s="2"/>
      <c r="O2" s="2"/>
      <c r="P2" s="2"/>
      <c r="Q2" s="2"/>
      <c r="R2" s="2"/>
      <c r="S2" s="2"/>
      <c r="T2" s="2"/>
      <c r="U2" s="2"/>
      <c r="V2" s="2"/>
      <c r="W2" s="2"/>
      <c r="X2" s="2"/>
      <c r="Y2" s="2"/>
      <c r="Z2" s="2"/>
      <c r="AA2" s="2"/>
    </row>
    <row r="3" ht="23.25" customHeight="1">
      <c r="A3" s="2"/>
      <c r="B3" s="3" t="s">
        <v>18</v>
      </c>
      <c r="C3" s="3" t="s">
        <v>32</v>
      </c>
      <c r="D3" s="2"/>
      <c r="E3" s="2"/>
      <c r="F3" s="2"/>
      <c r="G3" s="2"/>
      <c r="H3" s="2"/>
      <c r="I3" s="2"/>
      <c r="J3" s="2"/>
      <c r="K3" s="2"/>
      <c r="L3" s="2"/>
      <c r="M3" s="2"/>
      <c r="N3" s="2"/>
      <c r="O3" s="2"/>
      <c r="P3" s="2"/>
      <c r="Q3" s="2"/>
      <c r="R3" s="2"/>
      <c r="S3" s="2"/>
      <c r="T3" s="2"/>
      <c r="U3" s="2"/>
      <c r="V3" s="2"/>
      <c r="W3" s="2"/>
      <c r="X3" s="2"/>
      <c r="Y3" s="2"/>
      <c r="Z3" s="2"/>
      <c r="AA3" s="2"/>
    </row>
    <row r="4" ht="31.5" customHeight="1">
      <c r="A4" s="8"/>
      <c r="B4" s="9" t="s">
        <v>22</v>
      </c>
      <c r="C4" s="10" t="s">
        <v>34</v>
      </c>
      <c r="D4" s="11"/>
      <c r="E4" s="11"/>
      <c r="F4" s="11"/>
      <c r="G4" s="11"/>
      <c r="H4" s="11"/>
      <c r="I4" s="11"/>
      <c r="J4" s="11"/>
      <c r="K4" s="11"/>
      <c r="L4" s="11"/>
      <c r="M4" s="11"/>
      <c r="N4" s="11"/>
      <c r="O4" s="11"/>
      <c r="P4" s="11"/>
      <c r="Q4" s="11"/>
      <c r="R4" s="11"/>
      <c r="S4" s="11"/>
      <c r="T4" s="11"/>
      <c r="U4" s="11"/>
      <c r="V4" s="11"/>
      <c r="W4" s="11"/>
      <c r="X4" s="11"/>
      <c r="Y4" s="11"/>
      <c r="Z4" s="11"/>
      <c r="AA4" s="11"/>
    </row>
    <row r="5" ht="66.75" customHeight="1">
      <c r="A5" s="12"/>
      <c r="B5" s="3" t="s">
        <v>35</v>
      </c>
      <c r="C5" s="13" t="s">
        <v>36</v>
      </c>
      <c r="D5" s="14" t="s">
        <v>37</v>
      </c>
      <c r="E5" s="14" t="s">
        <v>38</v>
      </c>
      <c r="F5" s="14" t="s">
        <v>39</v>
      </c>
      <c r="G5" s="14" t="s">
        <v>40</v>
      </c>
      <c r="H5" s="14" t="s">
        <v>41</v>
      </c>
      <c r="I5" s="14" t="s">
        <v>42</v>
      </c>
      <c r="J5" s="2"/>
      <c r="K5" s="2"/>
      <c r="L5" s="2"/>
      <c r="M5" s="2"/>
      <c r="N5" s="2"/>
      <c r="O5" s="2"/>
      <c r="P5" s="2"/>
      <c r="Q5" s="2"/>
      <c r="R5" s="2"/>
      <c r="S5" s="2"/>
      <c r="T5" s="2"/>
      <c r="U5" s="2"/>
      <c r="V5" s="2"/>
      <c r="W5" s="2"/>
      <c r="X5" s="2"/>
      <c r="Y5" s="2"/>
      <c r="Z5" s="2"/>
      <c r="AA5" s="2"/>
    </row>
    <row r="6" ht="31.5" customHeight="1">
      <c r="A6" s="12"/>
      <c r="B6" s="15" t="s">
        <v>43</v>
      </c>
      <c r="C6" s="15" t="s">
        <v>44</v>
      </c>
      <c r="D6" s="16">
        <v>750.0</v>
      </c>
      <c r="E6" s="16">
        <v>1500.0</v>
      </c>
      <c r="F6" s="17">
        <v>250.0</v>
      </c>
      <c r="G6" s="17" t="s">
        <v>45</v>
      </c>
      <c r="H6" s="17">
        <v>0.0</v>
      </c>
      <c r="I6" s="17">
        <v>0.0</v>
      </c>
      <c r="J6" s="2"/>
      <c r="K6" s="2"/>
      <c r="L6" s="2"/>
      <c r="M6" s="2"/>
      <c r="N6" s="2"/>
      <c r="O6" s="2"/>
      <c r="P6" s="2"/>
      <c r="Q6" s="2"/>
      <c r="R6" s="2"/>
      <c r="S6" s="2"/>
      <c r="T6" s="2"/>
      <c r="U6" s="2"/>
      <c r="V6" s="2"/>
      <c r="W6" s="2"/>
      <c r="X6" s="2"/>
      <c r="Y6" s="2"/>
      <c r="Z6" s="2"/>
      <c r="AA6" s="2"/>
    </row>
    <row r="7" ht="112.5" customHeight="1">
      <c r="A7" s="12"/>
      <c r="B7" s="3" t="s">
        <v>46</v>
      </c>
      <c r="C7" s="13" t="s">
        <v>47</v>
      </c>
      <c r="D7" s="14" t="s">
        <v>48</v>
      </c>
      <c r="E7" s="14" t="s">
        <v>49</v>
      </c>
      <c r="F7" s="14" t="s">
        <v>50</v>
      </c>
      <c r="G7" s="14" t="s">
        <v>51</v>
      </c>
      <c r="H7" s="14" t="s">
        <v>52</v>
      </c>
      <c r="I7" s="14" t="s">
        <v>53</v>
      </c>
      <c r="J7" s="14" t="s">
        <v>54</v>
      </c>
      <c r="K7" s="2"/>
      <c r="L7" s="2"/>
      <c r="M7" s="2"/>
      <c r="N7" s="2"/>
      <c r="O7" s="2"/>
      <c r="P7" s="2"/>
      <c r="Q7" s="2"/>
      <c r="R7" s="2"/>
      <c r="S7" s="2"/>
      <c r="T7" s="2"/>
      <c r="U7" s="2"/>
      <c r="V7" s="2"/>
      <c r="W7" s="2"/>
      <c r="X7" s="2"/>
      <c r="Y7" s="2"/>
      <c r="Z7" s="2"/>
      <c r="AA7" s="2"/>
    </row>
    <row r="8" ht="48.75" customHeight="1">
      <c r="A8" s="12"/>
      <c r="B8" s="15" t="s">
        <v>43</v>
      </c>
      <c r="C8" s="15" t="s">
        <v>44</v>
      </c>
      <c r="D8" s="14" t="s">
        <v>55</v>
      </c>
      <c r="E8" s="14" t="s">
        <v>56</v>
      </c>
      <c r="F8" s="14" t="s">
        <v>57</v>
      </c>
      <c r="G8" s="14" t="s">
        <v>58</v>
      </c>
      <c r="H8" s="14" t="s">
        <v>58</v>
      </c>
      <c r="I8" s="18" t="s">
        <v>59</v>
      </c>
      <c r="J8" s="18" t="s">
        <v>60</v>
      </c>
      <c r="K8" s="2"/>
      <c r="L8" s="2"/>
      <c r="M8" s="2"/>
      <c r="N8" s="2"/>
      <c r="O8" s="2"/>
      <c r="P8" s="2"/>
      <c r="Q8" s="2"/>
      <c r="R8" s="2"/>
      <c r="S8" s="2"/>
      <c r="T8" s="2"/>
      <c r="U8" s="2"/>
      <c r="V8" s="2"/>
      <c r="W8" s="2"/>
      <c r="X8" s="2"/>
      <c r="Y8" s="2"/>
      <c r="Z8" s="2"/>
      <c r="AA8" s="2"/>
    </row>
    <row r="9" ht="71.25" customHeight="1">
      <c r="A9" s="12"/>
      <c r="B9" s="3" t="s">
        <v>61</v>
      </c>
      <c r="C9" s="4" t="s">
        <v>62</v>
      </c>
      <c r="D9" s="2"/>
      <c r="E9" s="2"/>
      <c r="F9" s="2"/>
      <c r="G9" s="2"/>
      <c r="H9" s="2"/>
      <c r="I9" s="2"/>
      <c r="J9" s="2"/>
      <c r="K9" s="2"/>
      <c r="L9" s="2"/>
      <c r="M9" s="2"/>
      <c r="N9" s="2"/>
      <c r="O9" s="2"/>
      <c r="P9" s="2"/>
      <c r="Q9" s="2"/>
      <c r="R9" s="2"/>
      <c r="S9" s="2"/>
      <c r="T9" s="2"/>
      <c r="U9" s="2"/>
      <c r="V9" s="2"/>
      <c r="W9" s="2"/>
      <c r="X9" s="2"/>
      <c r="Y9" s="2"/>
      <c r="Z9" s="2"/>
      <c r="AA9" s="2"/>
    </row>
    <row r="10" ht="23.25" customHeight="1">
      <c r="B10" s="1" t="s">
        <v>63</v>
      </c>
      <c r="C10" s="1" t="s">
        <v>64</v>
      </c>
    </row>
    <row r="11" ht="23.25" customHeight="1">
      <c r="A11" s="12"/>
      <c r="B11" s="3" t="s">
        <v>65</v>
      </c>
      <c r="C11" s="3" t="s">
        <v>66</v>
      </c>
      <c r="D11" s="2"/>
      <c r="E11" s="2"/>
      <c r="F11" s="2"/>
      <c r="G11" s="2"/>
      <c r="H11" s="2"/>
      <c r="I11" s="2"/>
      <c r="J11" s="2"/>
      <c r="K11" s="2"/>
      <c r="L11" s="2"/>
      <c r="M11" s="2"/>
      <c r="N11" s="2"/>
      <c r="O11" s="2"/>
      <c r="P11" s="2"/>
      <c r="Q11" s="2"/>
      <c r="R11" s="2"/>
      <c r="S11" s="2"/>
      <c r="T11" s="2"/>
      <c r="U11" s="2"/>
      <c r="V11" s="2"/>
      <c r="W11" s="2"/>
      <c r="X11" s="2"/>
      <c r="Y11" s="2"/>
      <c r="Z11" s="2"/>
      <c r="AA11" s="2"/>
    </row>
    <row r="12" ht="23.25" customHeight="1">
      <c r="A12" s="12"/>
      <c r="B12" s="3" t="s">
        <v>67</v>
      </c>
      <c r="C12" s="3" t="s">
        <v>68</v>
      </c>
      <c r="D12" s="2"/>
      <c r="E12" s="2"/>
      <c r="F12" s="2"/>
      <c r="G12" s="2"/>
      <c r="H12" s="2"/>
      <c r="I12" s="2"/>
      <c r="J12" s="2"/>
      <c r="K12" s="2"/>
      <c r="L12" s="2"/>
      <c r="M12" s="2"/>
      <c r="N12" s="2"/>
      <c r="O12" s="2"/>
      <c r="P12" s="2"/>
      <c r="Q12" s="2"/>
      <c r="R12" s="2"/>
      <c r="S12" s="2"/>
      <c r="T12" s="2"/>
      <c r="U12" s="2"/>
      <c r="V12" s="2"/>
      <c r="W12" s="2"/>
      <c r="X12" s="2"/>
      <c r="Y12" s="2"/>
      <c r="Z12" s="2"/>
      <c r="AA12" s="2"/>
    </row>
    <row r="13" ht="31.5" customHeight="1">
      <c r="A13" s="12"/>
      <c r="B13" s="3" t="s">
        <v>69</v>
      </c>
      <c r="C13" s="4" t="s">
        <v>70</v>
      </c>
      <c r="D13" s="2"/>
      <c r="E13" s="2"/>
      <c r="F13" s="2"/>
      <c r="G13" s="2"/>
      <c r="H13" s="2"/>
      <c r="I13" s="2"/>
      <c r="J13" s="2"/>
      <c r="K13" s="2"/>
      <c r="L13" s="2"/>
      <c r="M13" s="2"/>
      <c r="N13" s="2"/>
      <c r="O13" s="2"/>
      <c r="P13" s="2"/>
      <c r="Q13" s="2"/>
      <c r="R13" s="2"/>
      <c r="S13" s="2"/>
      <c r="T13" s="2"/>
      <c r="U13" s="2"/>
      <c r="V13" s="2"/>
      <c r="W13" s="2"/>
      <c r="X13" s="2"/>
      <c r="Y13" s="2"/>
      <c r="Z13" s="2"/>
      <c r="AA13" s="2"/>
    </row>
    <row r="14" ht="23.25" customHeight="1"/>
    <row r="15" ht="23.25" customHeight="1">
      <c r="A15" s="12"/>
      <c r="B15" s="3" t="s">
        <v>71</v>
      </c>
      <c r="C15" s="3" t="s">
        <v>72</v>
      </c>
      <c r="D15" s="2"/>
      <c r="E15" s="2"/>
      <c r="F15" s="2"/>
      <c r="G15" s="2"/>
      <c r="H15" s="2"/>
      <c r="I15" s="2"/>
      <c r="J15" s="2"/>
      <c r="K15" s="2"/>
      <c r="L15" s="2"/>
      <c r="M15" s="2"/>
      <c r="N15" s="2"/>
      <c r="O15" s="2"/>
      <c r="P15" s="2"/>
      <c r="Q15" s="2"/>
      <c r="R15" s="2"/>
      <c r="S15" s="2"/>
      <c r="T15" s="2"/>
      <c r="U15" s="2"/>
      <c r="V15" s="2"/>
      <c r="W15" s="2"/>
      <c r="X15" s="2"/>
      <c r="Y15" s="2"/>
      <c r="Z15" s="2"/>
      <c r="AA15" s="2"/>
    </row>
    <row r="16" ht="23.25" customHeight="1">
      <c r="A16" s="12"/>
      <c r="B16" s="3" t="s">
        <v>73</v>
      </c>
      <c r="C16" s="3" t="s">
        <v>74</v>
      </c>
      <c r="D16" s="2"/>
      <c r="E16" s="2"/>
      <c r="F16" s="2"/>
      <c r="G16" s="2"/>
      <c r="H16" s="2"/>
      <c r="I16" s="2"/>
      <c r="J16" s="2"/>
      <c r="K16" s="2"/>
      <c r="L16" s="2"/>
      <c r="M16" s="2"/>
      <c r="N16" s="2"/>
      <c r="O16" s="2"/>
      <c r="P16" s="2"/>
      <c r="Q16" s="2"/>
      <c r="R16" s="2"/>
      <c r="S16" s="2"/>
      <c r="T16" s="2"/>
      <c r="U16" s="2"/>
      <c r="V16" s="2"/>
      <c r="W16" s="2"/>
      <c r="X16" s="2"/>
      <c r="Y16" s="2"/>
      <c r="Z16" s="2"/>
      <c r="AA16" s="2"/>
    </row>
    <row r="17" ht="23.25" customHeight="1">
      <c r="A17" s="12"/>
      <c r="B17" s="3" t="s">
        <v>75</v>
      </c>
      <c r="C17" s="3" t="s">
        <v>76</v>
      </c>
      <c r="D17" s="2"/>
      <c r="E17" s="2"/>
      <c r="F17" s="2"/>
      <c r="G17" s="2"/>
      <c r="H17" s="2"/>
      <c r="I17" s="2"/>
      <c r="J17" s="2"/>
      <c r="K17" s="2"/>
      <c r="L17" s="2"/>
      <c r="M17" s="2"/>
      <c r="N17" s="2"/>
      <c r="O17" s="2"/>
      <c r="P17" s="2"/>
      <c r="Q17" s="2"/>
      <c r="R17" s="2"/>
      <c r="S17" s="2"/>
      <c r="T17" s="2"/>
      <c r="U17" s="2"/>
      <c r="V17" s="2"/>
      <c r="W17" s="2"/>
      <c r="X17" s="2"/>
      <c r="Y17" s="2"/>
      <c r="Z17" s="2"/>
      <c r="AA17" s="2"/>
    </row>
    <row r="18" ht="23.25" customHeight="1">
      <c r="A18" s="6"/>
      <c r="B18" s="1" t="s">
        <v>77</v>
      </c>
      <c r="C18" s="1" t="s">
        <v>78</v>
      </c>
    </row>
    <row r="19" ht="23.25" customHeight="1"/>
    <row r="20" ht="23.25" customHeight="1">
      <c r="A20" s="6"/>
      <c r="B20" s="1" t="s">
        <v>79</v>
      </c>
      <c r="C20" s="1" t="s">
        <v>80</v>
      </c>
    </row>
    <row r="21" ht="23.25" customHeight="1"/>
    <row r="22" ht="23.25" customHeight="1"/>
    <row r="23" ht="23.25" customHeight="1"/>
    <row r="24" ht="23.25" customHeight="1"/>
    <row r="25" ht="23.25" customHeight="1"/>
    <row r="26" ht="23.25" customHeight="1"/>
    <row r="27" ht="23.25" customHeight="1"/>
    <row r="28" ht="23.25" customHeight="1"/>
    <row r="29" ht="23.25" customHeight="1"/>
    <row r="30" ht="23.25" customHeight="1"/>
    <row r="31" ht="23.25" customHeight="1"/>
    <row r="32" ht="23.25" customHeight="1"/>
    <row r="33"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row r="1001" ht="23.25" customHeight="1"/>
    <row r="1002" ht="23.2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8.38"/>
    <col customWidth="1" min="3" max="3" width="64.5"/>
    <col customWidth="1" min="4" max="4" width="55.13"/>
  </cols>
  <sheetData>
    <row r="3">
      <c r="A3" s="2"/>
      <c r="B3" s="19" t="s">
        <v>81</v>
      </c>
      <c r="C3" s="20" t="s">
        <v>82</v>
      </c>
      <c r="D3" s="21" t="s">
        <v>83</v>
      </c>
      <c r="E3" s="2"/>
      <c r="F3" s="2"/>
      <c r="G3" s="2"/>
      <c r="H3" s="2"/>
      <c r="I3" s="2"/>
      <c r="J3" s="2"/>
      <c r="K3" s="2"/>
      <c r="L3" s="2"/>
      <c r="M3" s="2"/>
      <c r="N3" s="2"/>
      <c r="O3" s="2"/>
      <c r="P3" s="2"/>
      <c r="Q3" s="2"/>
      <c r="R3" s="2"/>
      <c r="S3" s="2"/>
      <c r="T3" s="2"/>
      <c r="U3" s="2"/>
      <c r="V3" s="2"/>
      <c r="W3" s="2"/>
      <c r="X3" s="2"/>
      <c r="Y3" s="2"/>
      <c r="Z3" s="2"/>
    </row>
    <row r="4">
      <c r="A4" s="2"/>
      <c r="B4" s="22" t="s">
        <v>84</v>
      </c>
      <c r="C4" s="23" t="s">
        <v>85</v>
      </c>
      <c r="D4" s="24" t="s">
        <v>86</v>
      </c>
      <c r="E4" s="2"/>
      <c r="F4" s="2"/>
      <c r="G4" s="2"/>
      <c r="H4" s="2"/>
      <c r="I4" s="2"/>
      <c r="J4" s="2"/>
      <c r="K4" s="2"/>
      <c r="L4" s="2"/>
      <c r="M4" s="2"/>
      <c r="N4" s="2"/>
      <c r="O4" s="2"/>
      <c r="P4" s="2"/>
      <c r="Q4" s="2"/>
      <c r="R4" s="2"/>
      <c r="S4" s="2"/>
      <c r="T4" s="2"/>
      <c r="U4" s="2"/>
      <c r="V4" s="2"/>
      <c r="W4" s="2"/>
      <c r="X4" s="2"/>
      <c r="Y4" s="2"/>
      <c r="Z4" s="2"/>
    </row>
    <row r="5">
      <c r="A5" s="2"/>
      <c r="B5" s="22"/>
      <c r="C5" s="25" t="s">
        <v>87</v>
      </c>
      <c r="D5" s="24" t="s">
        <v>86</v>
      </c>
      <c r="E5" s="2"/>
      <c r="F5" s="2"/>
      <c r="G5" s="2"/>
      <c r="H5" s="2"/>
      <c r="I5" s="2"/>
      <c r="J5" s="2"/>
      <c r="K5" s="2"/>
      <c r="L5" s="2"/>
      <c r="M5" s="2"/>
      <c r="N5" s="2"/>
      <c r="O5" s="2"/>
      <c r="P5" s="2"/>
      <c r="Q5" s="2"/>
      <c r="R5" s="2"/>
      <c r="S5" s="2"/>
      <c r="T5" s="2"/>
      <c r="U5" s="2"/>
      <c r="V5" s="2"/>
      <c r="W5" s="2"/>
      <c r="X5" s="2"/>
      <c r="Y5" s="2"/>
      <c r="Z5" s="2"/>
    </row>
    <row r="6">
      <c r="A6" s="2"/>
      <c r="B6" s="22" t="s">
        <v>88</v>
      </c>
      <c r="C6" s="25" t="s">
        <v>89</v>
      </c>
      <c r="D6" s="24" t="s">
        <v>90</v>
      </c>
      <c r="E6" s="2"/>
      <c r="F6" s="2"/>
      <c r="G6" s="2"/>
      <c r="H6" s="2"/>
      <c r="I6" s="2"/>
      <c r="J6" s="2"/>
      <c r="K6" s="2"/>
      <c r="L6" s="2"/>
      <c r="M6" s="2"/>
      <c r="N6" s="2"/>
      <c r="O6" s="2"/>
      <c r="P6" s="2"/>
      <c r="Q6" s="2"/>
      <c r="R6" s="2"/>
      <c r="S6" s="2"/>
      <c r="T6" s="2"/>
      <c r="U6" s="2"/>
      <c r="V6" s="2"/>
      <c r="W6" s="2"/>
      <c r="X6" s="2"/>
      <c r="Y6" s="2"/>
      <c r="Z6" s="2"/>
    </row>
    <row r="7">
      <c r="A7" s="2"/>
      <c r="B7" s="22" t="s">
        <v>91</v>
      </c>
      <c r="C7" s="25" t="s">
        <v>92</v>
      </c>
      <c r="D7" s="24" t="s">
        <v>93</v>
      </c>
      <c r="E7" s="2"/>
      <c r="F7" s="2"/>
      <c r="G7" s="2"/>
      <c r="H7" s="2"/>
      <c r="I7" s="2"/>
      <c r="J7" s="2"/>
      <c r="K7" s="2"/>
      <c r="L7" s="2"/>
      <c r="M7" s="2"/>
      <c r="N7" s="2"/>
      <c r="O7" s="2"/>
      <c r="P7" s="2"/>
      <c r="Q7" s="2"/>
      <c r="R7" s="2"/>
      <c r="S7" s="2"/>
      <c r="T7" s="2"/>
      <c r="U7" s="2"/>
      <c r="V7" s="2"/>
      <c r="W7" s="2"/>
      <c r="X7" s="2"/>
      <c r="Y7" s="2"/>
      <c r="Z7" s="2"/>
    </row>
    <row r="8">
      <c r="A8" s="2"/>
      <c r="B8" s="26" t="s">
        <v>94</v>
      </c>
      <c r="C8" s="25" t="s">
        <v>95</v>
      </c>
      <c r="D8" s="24" t="s">
        <v>93</v>
      </c>
      <c r="E8" s="2"/>
      <c r="F8" s="2"/>
      <c r="G8" s="2"/>
      <c r="H8" s="2"/>
      <c r="I8" s="2"/>
      <c r="J8" s="2"/>
      <c r="K8" s="2"/>
      <c r="L8" s="2"/>
      <c r="M8" s="2"/>
      <c r="N8" s="2"/>
      <c r="O8" s="2"/>
      <c r="P8" s="2"/>
      <c r="Q8" s="2"/>
      <c r="R8" s="2"/>
      <c r="S8" s="2"/>
      <c r="T8" s="2"/>
      <c r="U8" s="2"/>
      <c r="V8" s="2"/>
      <c r="W8" s="2"/>
      <c r="X8" s="2"/>
      <c r="Y8" s="2"/>
      <c r="Z8" s="2"/>
    </row>
    <row r="9">
      <c r="A9" s="2"/>
      <c r="B9" s="22" t="s">
        <v>81</v>
      </c>
      <c r="C9" s="23" t="s">
        <v>96</v>
      </c>
      <c r="D9" s="24" t="s">
        <v>97</v>
      </c>
      <c r="E9" s="2"/>
      <c r="F9" s="2"/>
      <c r="G9" s="2"/>
      <c r="H9" s="2"/>
      <c r="I9" s="2"/>
      <c r="J9" s="2"/>
      <c r="K9" s="2"/>
      <c r="L9" s="2"/>
      <c r="M9" s="2"/>
      <c r="N9" s="2"/>
      <c r="O9" s="2"/>
      <c r="P9" s="2"/>
      <c r="Q9" s="2"/>
      <c r="R9" s="2"/>
      <c r="S9" s="2"/>
      <c r="T9" s="2"/>
      <c r="U9" s="2"/>
      <c r="V9" s="2"/>
      <c r="W9" s="2"/>
      <c r="X9" s="2"/>
      <c r="Y9" s="2"/>
      <c r="Z9" s="2"/>
    </row>
    <row r="10">
      <c r="A10" s="2"/>
      <c r="B10" s="27" t="s">
        <v>98</v>
      </c>
      <c r="C10" s="28"/>
      <c r="D10" s="29"/>
      <c r="E10" s="2"/>
      <c r="F10" s="2"/>
      <c r="G10" s="2"/>
      <c r="H10" s="2"/>
      <c r="I10" s="2"/>
      <c r="J10" s="2"/>
      <c r="K10" s="2"/>
      <c r="L10" s="2"/>
      <c r="M10" s="2"/>
      <c r="N10" s="2"/>
      <c r="O10" s="2"/>
      <c r="P10" s="2"/>
      <c r="Q10" s="2"/>
      <c r="R10" s="2"/>
      <c r="S10" s="2"/>
      <c r="T10" s="2"/>
      <c r="U10" s="2"/>
      <c r="V10" s="2"/>
      <c r="W10" s="2"/>
      <c r="X10" s="2"/>
      <c r="Y10" s="2"/>
      <c r="Z10" s="2"/>
    </row>
    <row r="11">
      <c r="A11" s="2"/>
      <c r="B11" s="30" t="s">
        <v>99</v>
      </c>
      <c r="C11" s="30" t="s">
        <v>100</v>
      </c>
      <c r="D11" s="31" t="s">
        <v>101</v>
      </c>
      <c r="E11" s="2"/>
      <c r="F11" s="2"/>
      <c r="G11" s="2"/>
      <c r="H11" s="2"/>
      <c r="I11" s="2"/>
      <c r="J11" s="2"/>
      <c r="K11" s="2"/>
      <c r="L11" s="2"/>
      <c r="M11" s="2"/>
      <c r="N11" s="2"/>
      <c r="O11" s="2"/>
      <c r="P11" s="2"/>
      <c r="Q11" s="2"/>
      <c r="R11" s="2"/>
      <c r="S11" s="2"/>
      <c r="T11" s="2"/>
      <c r="U11" s="2"/>
      <c r="V11" s="2"/>
      <c r="W11" s="2"/>
      <c r="X11" s="2"/>
      <c r="Y11" s="2"/>
      <c r="Z11" s="2"/>
    </row>
    <row r="12">
      <c r="A12" s="2"/>
      <c r="B12" s="30" t="s">
        <v>102</v>
      </c>
      <c r="C12" s="30" t="s">
        <v>103</v>
      </c>
      <c r="D12" s="31" t="s">
        <v>101</v>
      </c>
      <c r="E12" s="2"/>
      <c r="F12" s="2"/>
      <c r="G12" s="2"/>
      <c r="H12" s="2"/>
      <c r="I12" s="2"/>
      <c r="J12" s="2"/>
      <c r="K12" s="2"/>
      <c r="L12" s="2"/>
      <c r="M12" s="2"/>
      <c r="N12" s="2"/>
      <c r="O12" s="2"/>
      <c r="P12" s="2"/>
      <c r="Q12" s="2"/>
      <c r="R12" s="2"/>
      <c r="S12" s="2"/>
      <c r="T12" s="2"/>
      <c r="U12" s="2"/>
      <c r="V12" s="2"/>
      <c r="W12" s="2"/>
      <c r="X12" s="2"/>
      <c r="Y12" s="2"/>
      <c r="Z12" s="2"/>
    </row>
    <row r="13">
      <c r="A13" s="2"/>
      <c r="B13" s="30" t="s">
        <v>104</v>
      </c>
      <c r="C13" s="30" t="s">
        <v>105</v>
      </c>
      <c r="D13" s="31" t="s">
        <v>101</v>
      </c>
      <c r="E13" s="2"/>
      <c r="F13" s="2"/>
      <c r="G13" s="2"/>
      <c r="H13" s="2"/>
      <c r="I13" s="2"/>
      <c r="J13" s="2"/>
      <c r="K13" s="2"/>
      <c r="L13" s="2"/>
      <c r="M13" s="2"/>
      <c r="N13" s="2"/>
      <c r="O13" s="2"/>
      <c r="P13" s="2"/>
      <c r="Q13" s="2"/>
      <c r="R13" s="2"/>
      <c r="S13" s="2"/>
      <c r="T13" s="2"/>
      <c r="U13" s="2"/>
      <c r="V13" s="2"/>
      <c r="W13" s="2"/>
      <c r="X13" s="2"/>
      <c r="Y13" s="2"/>
      <c r="Z13" s="2"/>
    </row>
    <row r="14">
      <c r="A14" s="2"/>
      <c r="B14" s="30" t="s">
        <v>106</v>
      </c>
      <c r="C14" s="32" t="s">
        <v>107</v>
      </c>
      <c r="D14" s="33" t="s">
        <v>93</v>
      </c>
      <c r="E14" s="2"/>
      <c r="F14" s="2"/>
      <c r="G14" s="2"/>
      <c r="H14" s="2"/>
      <c r="I14" s="2"/>
      <c r="J14" s="2"/>
      <c r="K14" s="2"/>
      <c r="L14" s="2"/>
      <c r="M14" s="2"/>
      <c r="N14" s="2"/>
      <c r="O14" s="2"/>
      <c r="P14" s="2"/>
      <c r="Q14" s="2"/>
      <c r="R14" s="2"/>
      <c r="S14" s="2"/>
      <c r="T14" s="2"/>
      <c r="U14" s="2"/>
      <c r="V14" s="2"/>
      <c r="W14" s="2"/>
      <c r="X14" s="2"/>
      <c r="Y14" s="2"/>
      <c r="Z14" s="2"/>
    </row>
    <row r="15">
      <c r="A15" s="2"/>
      <c r="B15" s="30" t="s">
        <v>108</v>
      </c>
      <c r="C15" s="32" t="s">
        <v>109</v>
      </c>
      <c r="D15" s="33" t="s">
        <v>93</v>
      </c>
      <c r="E15" s="2"/>
      <c r="F15" s="2"/>
      <c r="G15" s="2"/>
      <c r="H15" s="2"/>
      <c r="I15" s="2"/>
      <c r="J15" s="2"/>
      <c r="K15" s="2"/>
      <c r="L15" s="2"/>
      <c r="M15" s="2"/>
      <c r="N15" s="2"/>
      <c r="O15" s="2"/>
      <c r="P15" s="2"/>
      <c r="Q15" s="2"/>
      <c r="R15" s="2"/>
      <c r="S15" s="2"/>
      <c r="T15" s="2"/>
      <c r="U15" s="2"/>
      <c r="V15" s="2"/>
      <c r="W15" s="2"/>
      <c r="X15" s="2"/>
      <c r="Y15" s="2"/>
      <c r="Z15" s="2"/>
    </row>
    <row r="16">
      <c r="A16" s="2"/>
      <c r="B16" s="30" t="s">
        <v>110</v>
      </c>
      <c r="C16" s="30" t="s">
        <v>111</v>
      </c>
      <c r="D16" s="31" t="s">
        <v>101</v>
      </c>
      <c r="E16" s="2"/>
      <c r="F16" s="2"/>
      <c r="G16" s="2"/>
      <c r="H16" s="2"/>
      <c r="I16" s="2"/>
      <c r="J16" s="2"/>
      <c r="K16" s="2"/>
      <c r="L16" s="2"/>
      <c r="M16" s="2"/>
      <c r="N16" s="2"/>
      <c r="O16" s="2"/>
      <c r="P16" s="2"/>
      <c r="Q16" s="2"/>
      <c r="R16" s="2"/>
      <c r="S16" s="2"/>
      <c r="T16" s="2"/>
      <c r="U16" s="2"/>
      <c r="V16" s="2"/>
      <c r="W16" s="2"/>
      <c r="X16" s="2"/>
      <c r="Y16" s="2"/>
      <c r="Z16" s="2"/>
    </row>
    <row r="17">
      <c r="A17" s="2"/>
      <c r="B17" s="30" t="s">
        <v>112</v>
      </c>
      <c r="C17" s="30" t="s">
        <v>113</v>
      </c>
      <c r="D17" s="33" t="s">
        <v>93</v>
      </c>
      <c r="E17" s="2"/>
      <c r="F17" s="2"/>
      <c r="G17" s="2"/>
      <c r="H17" s="2"/>
      <c r="I17" s="2"/>
      <c r="J17" s="2"/>
      <c r="K17" s="2"/>
      <c r="L17" s="2"/>
      <c r="M17" s="2"/>
      <c r="N17" s="2"/>
      <c r="O17" s="2"/>
      <c r="P17" s="2"/>
      <c r="Q17" s="2"/>
      <c r="R17" s="2"/>
      <c r="S17" s="2"/>
      <c r="T17" s="2"/>
      <c r="U17" s="2"/>
      <c r="V17" s="2"/>
      <c r="W17" s="2"/>
      <c r="X17" s="2"/>
      <c r="Y17" s="2"/>
      <c r="Z17" s="2"/>
    </row>
    <row r="18">
      <c r="A18" s="2"/>
      <c r="B18" s="30" t="s">
        <v>114</v>
      </c>
      <c r="C18" s="30" t="s">
        <v>115</v>
      </c>
      <c r="D18" s="31" t="s">
        <v>101</v>
      </c>
      <c r="E18" s="2"/>
      <c r="F18" s="2"/>
      <c r="G18" s="2"/>
      <c r="H18" s="2"/>
      <c r="I18" s="2"/>
      <c r="J18" s="2"/>
      <c r="K18" s="2"/>
      <c r="L18" s="2"/>
      <c r="M18" s="2"/>
      <c r="N18" s="2"/>
      <c r="O18" s="2"/>
      <c r="P18" s="2"/>
      <c r="Q18" s="2"/>
      <c r="R18" s="2"/>
      <c r="S18" s="2"/>
      <c r="T18" s="2"/>
      <c r="U18" s="2"/>
      <c r="V18" s="2"/>
      <c r="W18" s="2"/>
      <c r="X18" s="2"/>
      <c r="Y18" s="2"/>
      <c r="Z18" s="2"/>
    </row>
    <row r="19">
      <c r="A19" s="2"/>
      <c r="B19" s="30" t="s">
        <v>116</v>
      </c>
      <c r="C19" s="32" t="s">
        <v>117</v>
      </c>
      <c r="D19" s="33" t="s">
        <v>93</v>
      </c>
      <c r="E19" s="2"/>
      <c r="F19" s="2"/>
      <c r="G19" s="2"/>
      <c r="H19" s="2"/>
      <c r="I19" s="2"/>
      <c r="J19" s="2"/>
      <c r="K19" s="2"/>
      <c r="L19" s="2"/>
      <c r="M19" s="2"/>
      <c r="N19" s="2"/>
      <c r="O19" s="2"/>
      <c r="P19" s="2"/>
      <c r="Q19" s="2"/>
      <c r="R19" s="2"/>
      <c r="S19" s="2"/>
      <c r="T19" s="2"/>
      <c r="U19" s="2"/>
      <c r="V19" s="2"/>
      <c r="W19" s="2"/>
      <c r="X19" s="2"/>
      <c r="Y19" s="2"/>
      <c r="Z19" s="2"/>
    </row>
    <row r="20">
      <c r="A20" s="2"/>
      <c r="B20" s="30" t="s">
        <v>118</v>
      </c>
      <c r="C20" s="32" t="s">
        <v>119</v>
      </c>
      <c r="D20" s="31" t="s">
        <v>120</v>
      </c>
      <c r="E20" s="2"/>
      <c r="F20" s="2"/>
      <c r="G20" s="2"/>
      <c r="H20" s="2"/>
      <c r="I20" s="2"/>
      <c r="J20" s="2"/>
      <c r="K20" s="2"/>
      <c r="L20" s="2"/>
      <c r="M20" s="2"/>
      <c r="N20" s="2"/>
      <c r="O20" s="2"/>
      <c r="P20" s="2"/>
      <c r="Q20" s="2"/>
      <c r="R20" s="2"/>
      <c r="S20" s="2"/>
      <c r="T20" s="2"/>
      <c r="U20" s="2"/>
      <c r="V20" s="2"/>
      <c r="W20" s="2"/>
      <c r="X20" s="2"/>
      <c r="Y20" s="2"/>
      <c r="Z20" s="2"/>
    </row>
    <row r="21">
      <c r="A21" s="2"/>
      <c r="B21" s="30" t="s">
        <v>121</v>
      </c>
      <c r="C21" s="32" t="s">
        <v>122</v>
      </c>
      <c r="D21" s="34" t="s">
        <v>120</v>
      </c>
      <c r="E21" s="2"/>
      <c r="F21" s="2"/>
      <c r="G21" s="2"/>
      <c r="H21" s="2"/>
      <c r="I21" s="2"/>
      <c r="J21" s="2"/>
      <c r="K21" s="2"/>
      <c r="L21" s="2"/>
      <c r="M21" s="2"/>
      <c r="N21" s="2"/>
      <c r="O21" s="2"/>
      <c r="P21" s="2"/>
      <c r="Q21" s="2"/>
      <c r="R21" s="2"/>
      <c r="S21" s="2"/>
      <c r="T21" s="2"/>
      <c r="U21" s="2"/>
      <c r="V21" s="2"/>
      <c r="W21" s="2"/>
      <c r="X21" s="2"/>
      <c r="Y21" s="2"/>
      <c r="Z21" s="2"/>
    </row>
    <row r="22">
      <c r="A22" s="2"/>
      <c r="B22" s="30" t="s">
        <v>123</v>
      </c>
      <c r="C22" s="32" t="s">
        <v>124</v>
      </c>
      <c r="D22" s="34" t="s">
        <v>125</v>
      </c>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3" t="s">
        <v>126</v>
      </c>
      <c r="C24" s="3" t="s">
        <v>127</v>
      </c>
      <c r="D24" s="2"/>
      <c r="E24" s="2"/>
      <c r="F24" s="2"/>
      <c r="G24" s="2"/>
      <c r="H24" s="2"/>
      <c r="I24" s="2"/>
      <c r="J24" s="2"/>
      <c r="K24" s="2"/>
      <c r="L24" s="2"/>
      <c r="M24" s="2"/>
      <c r="N24" s="2"/>
      <c r="O24" s="2"/>
      <c r="P24" s="2"/>
      <c r="Q24" s="2"/>
      <c r="R24" s="2"/>
      <c r="S24" s="2"/>
      <c r="T24" s="2"/>
      <c r="U24" s="2"/>
      <c r="V24" s="2"/>
      <c r="W24" s="2"/>
      <c r="X24" s="2"/>
      <c r="Y24" s="2"/>
      <c r="Z24" s="2"/>
    </row>
    <row r="26">
      <c r="B26" s="35" t="s">
        <v>128</v>
      </c>
      <c r="C26" s="36"/>
      <c r="D26" s="37"/>
    </row>
  </sheetData>
  <mergeCells count="1">
    <mergeCell ref="B26:D2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39.5"/>
    <col customWidth="1" min="3" max="4" width="14.38"/>
  </cols>
  <sheetData>
    <row r="1">
      <c r="A1" s="38" t="s">
        <v>129</v>
      </c>
      <c r="B1" s="38" t="s">
        <v>130</v>
      </c>
      <c r="C1" s="39" t="s">
        <v>131</v>
      </c>
      <c r="D1" s="39" t="s">
        <v>132</v>
      </c>
      <c r="E1" s="38" t="s">
        <v>133</v>
      </c>
      <c r="F1" s="38" t="s">
        <v>134</v>
      </c>
      <c r="G1" s="38" t="s">
        <v>135</v>
      </c>
      <c r="H1" s="38" t="s">
        <v>136</v>
      </c>
      <c r="I1" s="38" t="s">
        <v>137</v>
      </c>
      <c r="J1" s="38" t="s">
        <v>138</v>
      </c>
      <c r="K1" s="40"/>
      <c r="L1" s="40"/>
      <c r="M1" s="40"/>
      <c r="N1" s="40"/>
      <c r="O1" s="40"/>
      <c r="P1" s="40"/>
      <c r="Q1" s="40"/>
      <c r="R1" s="40"/>
      <c r="S1" s="40"/>
      <c r="T1" s="40"/>
      <c r="U1" s="40"/>
      <c r="V1" s="40"/>
      <c r="W1" s="40"/>
      <c r="X1" s="40"/>
      <c r="Y1" s="40"/>
      <c r="Z1" s="40"/>
      <c r="AA1" s="40"/>
    </row>
    <row r="2">
      <c r="A2" s="6" t="s">
        <v>139</v>
      </c>
      <c r="B2" s="6" t="s">
        <v>17</v>
      </c>
    </row>
    <row r="3">
      <c r="A3" s="6" t="s">
        <v>139</v>
      </c>
      <c r="B3" s="6" t="s">
        <v>18</v>
      </c>
    </row>
    <row r="4">
      <c r="A4" s="6" t="s">
        <v>140</v>
      </c>
      <c r="B4" s="6" t="s">
        <v>22</v>
      </c>
    </row>
    <row r="5">
      <c r="A5" s="6" t="s">
        <v>141</v>
      </c>
      <c r="B5" s="6" t="s">
        <v>142</v>
      </c>
    </row>
    <row r="6">
      <c r="A6" s="6" t="s">
        <v>141</v>
      </c>
      <c r="B6" s="6" t="s">
        <v>46</v>
      </c>
    </row>
    <row r="7">
      <c r="A7" s="6" t="s">
        <v>141</v>
      </c>
      <c r="B7" s="6" t="s">
        <v>61</v>
      </c>
    </row>
    <row r="8">
      <c r="A8" s="6" t="s">
        <v>141</v>
      </c>
      <c r="B8" s="6" t="s">
        <v>63</v>
      </c>
    </row>
    <row r="9">
      <c r="A9" s="6" t="s">
        <v>141</v>
      </c>
      <c r="B9" s="6" t="s">
        <v>143</v>
      </c>
    </row>
    <row r="10">
      <c r="A10" s="6" t="s">
        <v>141</v>
      </c>
      <c r="B10" s="6" t="s">
        <v>67</v>
      </c>
    </row>
    <row r="11">
      <c r="A11" s="6" t="s">
        <v>141</v>
      </c>
      <c r="B11" s="6" t="s">
        <v>69</v>
      </c>
    </row>
    <row r="12">
      <c r="A12" s="6" t="s">
        <v>141</v>
      </c>
      <c r="B12" s="6" t="s">
        <v>144</v>
      </c>
    </row>
    <row r="13">
      <c r="A13" s="6" t="s">
        <v>141</v>
      </c>
      <c r="B13" s="6" t="s">
        <v>75</v>
      </c>
    </row>
    <row r="14">
      <c r="A14" s="6" t="s">
        <v>141</v>
      </c>
      <c r="B14" s="6" t="s">
        <v>145</v>
      </c>
    </row>
    <row r="15">
      <c r="A15" s="6" t="s">
        <v>141</v>
      </c>
      <c r="B15" s="6" t="s">
        <v>71</v>
      </c>
    </row>
    <row r="16">
      <c r="A16" s="6" t="s">
        <v>141</v>
      </c>
      <c r="B16" s="6" t="s">
        <v>73</v>
      </c>
    </row>
    <row r="19">
      <c r="A19" s="2"/>
      <c r="B19" s="12" t="s">
        <v>146</v>
      </c>
      <c r="C19" s="2"/>
      <c r="D19" s="2"/>
      <c r="E19" s="41" t="s">
        <v>147</v>
      </c>
      <c r="F19" s="41" t="s">
        <v>147</v>
      </c>
      <c r="G19" s="41" t="s">
        <v>147</v>
      </c>
      <c r="H19" s="41" t="s">
        <v>147</v>
      </c>
      <c r="I19" s="41" t="s">
        <v>147</v>
      </c>
      <c r="J19" s="41" t="s">
        <v>147</v>
      </c>
      <c r="K19" s="2"/>
      <c r="L19" s="2"/>
      <c r="M19" s="2"/>
      <c r="N19" s="2"/>
      <c r="O19" s="2"/>
      <c r="P19" s="2"/>
      <c r="Q19" s="2"/>
      <c r="R19" s="2"/>
      <c r="S19" s="2"/>
      <c r="T19" s="2"/>
      <c r="U19" s="2"/>
      <c r="V19" s="2"/>
      <c r="W19" s="2"/>
      <c r="X19" s="2"/>
      <c r="Y19" s="2"/>
      <c r="Z19" s="2"/>
      <c r="AA19" s="2"/>
    </row>
    <row r="22">
      <c r="B22" s="6" t="s">
        <v>148</v>
      </c>
      <c r="C22" s="6"/>
      <c r="D22" s="6"/>
    </row>
    <row r="23">
      <c r="B23" s="6" t="s">
        <v>149</v>
      </c>
      <c r="C23" s="6"/>
      <c r="D23" s="6" t="s">
        <v>150</v>
      </c>
    </row>
    <row r="25">
      <c r="B25" s="6" t="s">
        <v>151</v>
      </c>
    </row>
    <row r="26">
      <c r="B26" s="6" t="s">
        <v>152</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11" width="24.63"/>
  </cols>
  <sheetData>
    <row r="1" ht="18.0" customHeight="1">
      <c r="A1" s="42"/>
      <c r="B1" s="43"/>
      <c r="C1" s="43"/>
    </row>
    <row r="2" ht="47.25" customHeight="1">
      <c r="A2" s="44" t="s">
        <v>153</v>
      </c>
      <c r="B2" s="45" t="s">
        <v>154</v>
      </c>
      <c r="C2" s="45" t="s">
        <v>155</v>
      </c>
      <c r="D2" s="45" t="s">
        <v>156</v>
      </c>
      <c r="E2" s="45" t="s">
        <v>157</v>
      </c>
      <c r="F2" s="45" t="s">
        <v>158</v>
      </c>
      <c r="G2" s="45" t="s">
        <v>159</v>
      </c>
      <c r="H2" s="45" t="s">
        <v>160</v>
      </c>
      <c r="I2" s="45" t="s">
        <v>161</v>
      </c>
      <c r="J2" s="45" t="s">
        <v>162</v>
      </c>
      <c r="K2" s="45" t="s">
        <v>163</v>
      </c>
      <c r="L2" s="46"/>
      <c r="M2" s="46"/>
      <c r="N2" s="46"/>
      <c r="O2" s="46"/>
      <c r="P2" s="46"/>
      <c r="Q2" s="46"/>
      <c r="R2" s="46"/>
      <c r="S2" s="46"/>
      <c r="T2" s="46"/>
      <c r="U2" s="46"/>
      <c r="V2" s="46"/>
      <c r="W2" s="46"/>
      <c r="X2" s="46"/>
      <c r="Y2" s="46"/>
      <c r="Z2" s="46"/>
    </row>
    <row r="3" ht="18.0" customHeight="1">
      <c r="A3" s="47" t="s">
        <v>164</v>
      </c>
      <c r="B3" s="48"/>
      <c r="C3" s="48"/>
      <c r="D3" s="48"/>
      <c r="E3" s="48"/>
      <c r="F3" s="48"/>
      <c r="G3" s="48"/>
      <c r="H3" s="48"/>
      <c r="I3" s="48"/>
      <c r="J3" s="48"/>
      <c r="K3" s="49"/>
    </row>
    <row r="4" ht="18.0" customHeight="1">
      <c r="A4" s="50" t="s">
        <v>165</v>
      </c>
      <c r="B4" s="51"/>
      <c r="C4" s="51"/>
      <c r="D4" s="51"/>
      <c r="E4" s="51"/>
      <c r="F4" s="51"/>
      <c r="G4" s="51"/>
      <c r="H4" s="51"/>
      <c r="I4" s="51"/>
      <c r="J4" s="51"/>
      <c r="K4" s="52"/>
    </row>
    <row r="5" ht="18.0" customHeight="1">
      <c r="A5" s="50" t="s">
        <v>166</v>
      </c>
      <c r="B5" s="51"/>
      <c r="C5" s="51"/>
      <c r="D5" s="51"/>
      <c r="E5" s="51"/>
      <c r="F5" s="51"/>
      <c r="G5" s="51"/>
      <c r="H5" s="51"/>
      <c r="I5" s="51"/>
      <c r="J5" s="51"/>
      <c r="K5" s="52"/>
    </row>
    <row r="6" ht="18.0" customHeight="1">
      <c r="A6" s="50" t="s">
        <v>167</v>
      </c>
      <c r="B6" s="51"/>
      <c r="C6" s="51"/>
      <c r="D6" s="51"/>
      <c r="E6" s="51"/>
      <c r="F6" s="51"/>
      <c r="G6" s="51"/>
      <c r="H6" s="51"/>
      <c r="I6" s="51"/>
      <c r="J6" s="51"/>
      <c r="K6" s="52"/>
    </row>
    <row r="7" ht="18.0" customHeight="1">
      <c r="A7" s="50" t="s">
        <v>168</v>
      </c>
      <c r="B7" s="51"/>
      <c r="C7" s="51"/>
      <c r="D7" s="51"/>
      <c r="E7" s="51"/>
      <c r="F7" s="51"/>
      <c r="G7" s="51"/>
      <c r="H7" s="51"/>
      <c r="I7" s="51"/>
      <c r="J7" s="51"/>
      <c r="K7" s="52"/>
    </row>
    <row r="8" ht="18.0" customHeight="1">
      <c r="A8" s="50" t="s">
        <v>169</v>
      </c>
      <c r="B8" s="51"/>
      <c r="C8" s="51"/>
      <c r="D8" s="51"/>
      <c r="E8" s="51"/>
      <c r="F8" s="51"/>
      <c r="G8" s="51"/>
      <c r="H8" s="51"/>
      <c r="I8" s="51"/>
      <c r="J8" s="51"/>
      <c r="K8" s="52"/>
    </row>
    <row r="9" ht="18.0" customHeight="1">
      <c r="A9" s="50" t="s">
        <v>170</v>
      </c>
      <c r="B9" s="51"/>
      <c r="C9" s="51"/>
      <c r="D9" s="51"/>
      <c r="E9" s="51"/>
      <c r="F9" s="51"/>
      <c r="G9" s="51"/>
      <c r="H9" s="51"/>
      <c r="I9" s="51"/>
      <c r="J9" s="51"/>
      <c r="K9" s="52"/>
    </row>
    <row r="10" ht="18.0" customHeight="1">
      <c r="A10" s="50" t="s">
        <v>171</v>
      </c>
      <c r="B10" s="51"/>
      <c r="C10" s="51"/>
      <c r="D10" s="51"/>
      <c r="E10" s="51"/>
      <c r="F10" s="51"/>
      <c r="G10" s="51"/>
      <c r="H10" s="51"/>
      <c r="I10" s="51"/>
      <c r="J10" s="51"/>
      <c r="K10" s="52"/>
    </row>
    <row r="11" ht="18.0" customHeight="1">
      <c r="A11" s="50" t="s">
        <v>104</v>
      </c>
      <c r="B11" s="51"/>
      <c r="C11" s="51"/>
      <c r="D11" s="51"/>
      <c r="E11" s="51"/>
      <c r="F11" s="51"/>
      <c r="G11" s="51"/>
      <c r="H11" s="51"/>
      <c r="I11" s="51"/>
      <c r="J11" s="51"/>
      <c r="K11" s="52"/>
    </row>
    <row r="12" ht="18.0" customHeight="1">
      <c r="A12" s="50" t="s">
        <v>172</v>
      </c>
      <c r="B12" s="51"/>
      <c r="C12" s="51"/>
      <c r="D12" s="51"/>
      <c r="E12" s="51"/>
      <c r="F12" s="51"/>
      <c r="G12" s="51"/>
      <c r="H12" s="51"/>
      <c r="I12" s="51"/>
      <c r="J12" s="51"/>
      <c r="K12" s="52"/>
    </row>
    <row r="13" ht="18.0" customHeight="1">
      <c r="A13" s="50" t="s">
        <v>110</v>
      </c>
      <c r="B13" s="51"/>
      <c r="C13" s="51"/>
      <c r="D13" s="51"/>
      <c r="E13" s="51"/>
      <c r="F13" s="51"/>
      <c r="G13" s="51"/>
      <c r="H13" s="51"/>
      <c r="I13" s="51"/>
      <c r="J13" s="51"/>
      <c r="K13" s="52"/>
    </row>
    <row r="14" ht="18.0" customHeight="1">
      <c r="A14" s="50" t="s">
        <v>172</v>
      </c>
      <c r="B14" s="51"/>
      <c r="C14" s="51"/>
      <c r="D14" s="51"/>
      <c r="E14" s="51"/>
      <c r="F14" s="51"/>
      <c r="G14" s="51"/>
      <c r="H14" s="51"/>
      <c r="I14" s="51"/>
      <c r="J14" s="51"/>
      <c r="K14" s="52"/>
    </row>
    <row r="15" ht="18.0" customHeight="1">
      <c r="A15" s="50" t="s">
        <v>99</v>
      </c>
      <c r="B15" s="51"/>
      <c r="C15" s="51"/>
      <c r="D15" s="51"/>
      <c r="E15" s="51"/>
      <c r="F15" s="51"/>
      <c r="G15" s="51"/>
      <c r="H15" s="51"/>
      <c r="I15" s="51"/>
      <c r="J15" s="51"/>
      <c r="K15" s="52"/>
    </row>
    <row r="16" ht="18.0" customHeight="1">
      <c r="A16" s="50" t="s">
        <v>102</v>
      </c>
      <c r="B16" s="51"/>
      <c r="C16" s="51"/>
      <c r="D16" s="51"/>
      <c r="E16" s="51"/>
      <c r="F16" s="51"/>
      <c r="G16" s="51"/>
      <c r="H16" s="51"/>
      <c r="I16" s="51"/>
      <c r="J16" s="51"/>
      <c r="K16" s="52"/>
    </row>
    <row r="17" ht="18.0" customHeight="1">
      <c r="A17" s="50" t="s">
        <v>114</v>
      </c>
      <c r="B17" s="51"/>
      <c r="C17" s="51"/>
      <c r="D17" s="51"/>
      <c r="E17" s="51"/>
      <c r="F17" s="51"/>
      <c r="G17" s="51"/>
      <c r="H17" s="51"/>
      <c r="I17" s="51"/>
      <c r="J17" s="51"/>
      <c r="K17" s="52"/>
    </row>
    <row r="18" ht="18.0" customHeight="1">
      <c r="A18" s="50" t="s">
        <v>116</v>
      </c>
      <c r="B18" s="51"/>
      <c r="C18" s="51"/>
      <c r="D18" s="51"/>
      <c r="E18" s="51"/>
      <c r="F18" s="51"/>
      <c r="G18" s="51"/>
      <c r="H18" s="51"/>
      <c r="I18" s="51"/>
      <c r="J18" s="51"/>
      <c r="K18" s="52"/>
    </row>
    <row r="19" ht="18.0" customHeight="1">
      <c r="A19" s="50" t="s">
        <v>173</v>
      </c>
      <c r="B19" s="51"/>
      <c r="C19" s="51"/>
      <c r="D19" s="51"/>
      <c r="E19" s="51"/>
      <c r="F19" s="51"/>
      <c r="G19" s="51"/>
      <c r="H19" s="51"/>
      <c r="I19" s="51"/>
      <c r="J19" s="51"/>
      <c r="K19" s="52"/>
    </row>
    <row r="20" ht="18.0" customHeight="1">
      <c r="A20" s="50" t="s">
        <v>174</v>
      </c>
      <c r="B20" s="51"/>
      <c r="C20" s="51"/>
      <c r="D20" s="51"/>
      <c r="E20" s="51"/>
      <c r="F20" s="51"/>
      <c r="G20" s="51"/>
      <c r="H20" s="51"/>
      <c r="I20" s="51"/>
      <c r="J20" s="51"/>
      <c r="K20" s="52"/>
    </row>
    <row r="21" ht="18.0" customHeight="1">
      <c r="A21" s="50" t="s">
        <v>175</v>
      </c>
      <c r="B21" s="51"/>
      <c r="C21" s="51"/>
      <c r="D21" s="51"/>
      <c r="E21" s="51"/>
      <c r="F21" s="51"/>
      <c r="G21" s="51"/>
      <c r="H21" s="51"/>
      <c r="I21" s="51"/>
      <c r="J21" s="51"/>
      <c r="K21" s="52"/>
    </row>
    <row r="22" ht="18.0" customHeight="1">
      <c r="A22" s="50" t="s">
        <v>121</v>
      </c>
      <c r="B22" s="51"/>
      <c r="C22" s="51"/>
      <c r="D22" s="51"/>
      <c r="E22" s="51"/>
      <c r="F22" s="51"/>
      <c r="G22" s="51"/>
      <c r="H22" s="51"/>
      <c r="I22" s="51"/>
      <c r="J22" s="51"/>
      <c r="K22" s="52"/>
    </row>
    <row r="23" ht="18.0" customHeight="1">
      <c r="A23" s="50" t="s">
        <v>118</v>
      </c>
      <c r="B23" s="51"/>
      <c r="C23" s="51"/>
      <c r="D23" s="51"/>
      <c r="E23" s="51"/>
      <c r="F23" s="51"/>
      <c r="G23" s="51"/>
      <c r="H23" s="51"/>
      <c r="I23" s="51"/>
      <c r="J23" s="51"/>
      <c r="K23" s="52"/>
    </row>
    <row r="24" ht="18.0" customHeight="1">
      <c r="A24" s="53" t="s">
        <v>123</v>
      </c>
      <c r="B24" s="54"/>
      <c r="C24" s="54"/>
      <c r="D24" s="54"/>
      <c r="E24" s="54"/>
      <c r="F24" s="54"/>
      <c r="G24" s="54"/>
      <c r="H24" s="54"/>
      <c r="I24" s="54"/>
      <c r="J24" s="54"/>
      <c r="K24" s="55"/>
    </row>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row r="1001" ht="18.0" customHeight="1"/>
    <row r="1002" ht="18.0"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30.38"/>
    <col customWidth="1" min="3" max="11" width="24.63"/>
  </cols>
  <sheetData>
    <row r="1" ht="18.0" customHeight="1">
      <c r="A1" s="42"/>
      <c r="B1" s="43"/>
      <c r="C1" s="43"/>
    </row>
    <row r="2" ht="47.25" customHeight="1">
      <c r="A2" s="44" t="s">
        <v>153</v>
      </c>
      <c r="B2" s="45" t="s">
        <v>133</v>
      </c>
      <c r="C2" s="45" t="s">
        <v>134</v>
      </c>
      <c r="D2" s="45" t="s">
        <v>156</v>
      </c>
      <c r="E2" s="45" t="s">
        <v>157</v>
      </c>
      <c r="F2" s="45" t="s">
        <v>158</v>
      </c>
      <c r="G2" s="45" t="s">
        <v>159</v>
      </c>
      <c r="H2" s="45" t="s">
        <v>160</v>
      </c>
      <c r="I2" s="45" t="s">
        <v>161</v>
      </c>
      <c r="J2" s="45" t="s">
        <v>162</v>
      </c>
      <c r="K2" s="45" t="s">
        <v>163</v>
      </c>
      <c r="L2" s="46"/>
      <c r="M2" s="46"/>
      <c r="N2" s="46"/>
      <c r="O2" s="46"/>
      <c r="P2" s="46"/>
      <c r="Q2" s="46"/>
      <c r="R2" s="46"/>
      <c r="S2" s="46"/>
      <c r="T2" s="46"/>
      <c r="U2" s="46"/>
      <c r="V2" s="46"/>
      <c r="W2" s="46"/>
      <c r="X2" s="46"/>
      <c r="Y2" s="46"/>
      <c r="Z2" s="46"/>
    </row>
    <row r="3" ht="18.0" customHeight="1">
      <c r="A3" s="56" t="s">
        <v>176</v>
      </c>
      <c r="B3" s="6" t="s">
        <v>177</v>
      </c>
      <c r="C3" s="6" t="s">
        <v>178</v>
      </c>
      <c r="D3" s="6" t="s">
        <v>179</v>
      </c>
      <c r="K3" s="57"/>
    </row>
    <row r="4" ht="18.0" customHeight="1">
      <c r="A4" s="56" t="s">
        <v>180</v>
      </c>
      <c r="B4" s="58" t="s">
        <v>181</v>
      </c>
      <c r="C4" s="58" t="s">
        <v>182</v>
      </c>
      <c r="D4" s="58" t="s">
        <v>183</v>
      </c>
      <c r="K4" s="57"/>
    </row>
    <row r="5" ht="18.0" customHeight="1">
      <c r="A5" s="56" t="s">
        <v>184</v>
      </c>
      <c r="B5" s="6" t="s">
        <v>185</v>
      </c>
      <c r="C5" s="6" t="s">
        <v>186</v>
      </c>
      <c r="D5" s="6" t="s">
        <v>187</v>
      </c>
      <c r="K5" s="57"/>
    </row>
    <row r="6" ht="18.0" customHeight="1">
      <c r="A6" s="56" t="s">
        <v>188</v>
      </c>
      <c r="B6" s="6" t="s">
        <v>189</v>
      </c>
      <c r="C6" s="6" t="s">
        <v>190</v>
      </c>
      <c r="D6" s="6" t="s">
        <v>191</v>
      </c>
      <c r="K6" s="57"/>
    </row>
    <row r="7" ht="18.0" customHeight="1">
      <c r="A7" s="47" t="s">
        <v>164</v>
      </c>
      <c r="B7" s="48"/>
      <c r="C7" s="48"/>
      <c r="D7" s="48"/>
      <c r="E7" s="48"/>
      <c r="F7" s="48"/>
      <c r="G7" s="48"/>
      <c r="H7" s="48"/>
      <c r="I7" s="48"/>
      <c r="J7" s="48"/>
      <c r="K7" s="49"/>
    </row>
    <row r="8" ht="18.0" customHeight="1">
      <c r="A8" s="50" t="s">
        <v>165</v>
      </c>
      <c r="B8" s="51"/>
      <c r="C8" s="51"/>
      <c r="D8" s="51"/>
      <c r="E8" s="51"/>
      <c r="F8" s="51"/>
      <c r="G8" s="51"/>
      <c r="H8" s="51"/>
      <c r="I8" s="51"/>
      <c r="J8" s="51"/>
      <c r="K8" s="52"/>
    </row>
    <row r="9" ht="18.0" customHeight="1">
      <c r="A9" s="50" t="s">
        <v>166</v>
      </c>
      <c r="B9" s="51"/>
      <c r="C9" s="51"/>
      <c r="D9" s="51"/>
      <c r="E9" s="51"/>
      <c r="F9" s="51"/>
      <c r="G9" s="51"/>
      <c r="H9" s="51"/>
      <c r="I9" s="51"/>
      <c r="J9" s="51"/>
      <c r="K9" s="52"/>
    </row>
    <row r="10" ht="18.0" customHeight="1">
      <c r="A10" s="50" t="s">
        <v>192</v>
      </c>
      <c r="B10" s="51"/>
      <c r="C10" s="51"/>
      <c r="D10" s="51"/>
      <c r="E10" s="51"/>
      <c r="F10" s="51"/>
      <c r="G10" s="51"/>
      <c r="H10" s="51"/>
      <c r="I10" s="51"/>
      <c r="J10" s="51"/>
      <c r="K10" s="52"/>
    </row>
    <row r="11" ht="18.0" customHeight="1">
      <c r="A11" s="50" t="s">
        <v>168</v>
      </c>
      <c r="B11" s="51"/>
      <c r="C11" s="51"/>
      <c r="D11" s="51"/>
      <c r="E11" s="51"/>
      <c r="F11" s="51"/>
      <c r="G11" s="51"/>
      <c r="H11" s="51"/>
      <c r="I11" s="51"/>
      <c r="J11" s="51"/>
      <c r="K11" s="52"/>
    </row>
    <row r="12" ht="18.0" customHeight="1">
      <c r="A12" s="50" t="s">
        <v>169</v>
      </c>
      <c r="B12" s="51"/>
      <c r="C12" s="51"/>
      <c r="D12" s="51"/>
      <c r="E12" s="51"/>
      <c r="F12" s="51"/>
      <c r="G12" s="51"/>
      <c r="H12" s="51"/>
      <c r="I12" s="51"/>
      <c r="J12" s="51"/>
      <c r="K12" s="52"/>
    </row>
    <row r="13" ht="18.0" customHeight="1">
      <c r="A13" s="50" t="s">
        <v>170</v>
      </c>
      <c r="B13" s="51"/>
      <c r="C13" s="51"/>
      <c r="D13" s="51"/>
      <c r="E13" s="51"/>
      <c r="F13" s="51"/>
      <c r="G13" s="51"/>
      <c r="H13" s="51"/>
      <c r="I13" s="51"/>
      <c r="J13" s="51"/>
      <c r="K13" s="52"/>
    </row>
    <row r="14" ht="18.0" customHeight="1">
      <c r="A14" s="50" t="s">
        <v>171</v>
      </c>
      <c r="B14" s="51"/>
      <c r="C14" s="51"/>
      <c r="D14" s="51"/>
      <c r="E14" s="51"/>
      <c r="F14" s="51"/>
      <c r="G14" s="51"/>
      <c r="H14" s="51"/>
      <c r="I14" s="51"/>
      <c r="J14" s="51"/>
      <c r="K14" s="52"/>
    </row>
    <row r="15" ht="18.0" customHeight="1">
      <c r="A15" s="50" t="s">
        <v>104</v>
      </c>
      <c r="B15" s="51"/>
      <c r="C15" s="51"/>
      <c r="D15" s="51"/>
      <c r="E15" s="51"/>
      <c r="F15" s="51"/>
      <c r="G15" s="51"/>
      <c r="H15" s="51"/>
      <c r="I15" s="51"/>
      <c r="J15" s="51"/>
      <c r="K15" s="52"/>
    </row>
    <row r="16" ht="18.0" customHeight="1">
      <c r="A16" s="50" t="s">
        <v>172</v>
      </c>
      <c r="B16" s="51"/>
      <c r="C16" s="51"/>
      <c r="D16" s="51"/>
      <c r="E16" s="51"/>
      <c r="F16" s="51"/>
      <c r="G16" s="51"/>
      <c r="H16" s="51"/>
      <c r="I16" s="51"/>
      <c r="J16" s="51"/>
      <c r="K16" s="52"/>
    </row>
    <row r="17" ht="18.0" customHeight="1">
      <c r="A17" s="50" t="s">
        <v>110</v>
      </c>
      <c r="B17" s="51"/>
      <c r="C17" s="51"/>
      <c r="D17" s="51"/>
      <c r="E17" s="51"/>
      <c r="F17" s="51"/>
      <c r="G17" s="51"/>
      <c r="H17" s="51"/>
      <c r="I17" s="51"/>
      <c r="J17" s="51"/>
      <c r="K17" s="52"/>
    </row>
    <row r="18" ht="18.0" customHeight="1">
      <c r="A18" s="50" t="s">
        <v>172</v>
      </c>
      <c r="B18" s="51"/>
      <c r="C18" s="51"/>
      <c r="D18" s="51"/>
      <c r="E18" s="51"/>
      <c r="F18" s="51"/>
      <c r="G18" s="51"/>
      <c r="H18" s="51"/>
      <c r="I18" s="51"/>
      <c r="J18" s="51"/>
      <c r="K18" s="52"/>
    </row>
    <row r="19" ht="18.0" customHeight="1">
      <c r="A19" s="50" t="s">
        <v>99</v>
      </c>
      <c r="B19" s="51"/>
      <c r="C19" s="51"/>
      <c r="D19" s="51"/>
      <c r="E19" s="51"/>
      <c r="F19" s="51"/>
      <c r="G19" s="51"/>
      <c r="H19" s="51"/>
      <c r="I19" s="51"/>
      <c r="J19" s="51"/>
      <c r="K19" s="52"/>
    </row>
    <row r="20" ht="18.0" customHeight="1">
      <c r="A20" s="50" t="s">
        <v>102</v>
      </c>
      <c r="B20" s="51"/>
      <c r="C20" s="51"/>
      <c r="D20" s="51"/>
      <c r="E20" s="51"/>
      <c r="F20" s="51"/>
      <c r="G20" s="51"/>
      <c r="H20" s="51"/>
      <c r="I20" s="51"/>
      <c r="J20" s="51"/>
      <c r="K20" s="52"/>
    </row>
    <row r="21" ht="18.0" customHeight="1">
      <c r="A21" s="50" t="s">
        <v>114</v>
      </c>
      <c r="B21" s="51"/>
      <c r="C21" s="51"/>
      <c r="D21" s="51"/>
      <c r="E21" s="51"/>
      <c r="F21" s="51"/>
      <c r="G21" s="51"/>
      <c r="H21" s="51"/>
      <c r="I21" s="51"/>
      <c r="J21" s="51"/>
      <c r="K21" s="52"/>
    </row>
    <row r="22" ht="18.0" customHeight="1">
      <c r="A22" s="50" t="s">
        <v>116</v>
      </c>
      <c r="B22" s="51"/>
      <c r="C22" s="51"/>
      <c r="D22" s="51"/>
      <c r="E22" s="51"/>
      <c r="F22" s="51"/>
      <c r="G22" s="51"/>
      <c r="H22" s="51"/>
      <c r="I22" s="51"/>
      <c r="J22" s="51"/>
      <c r="K22" s="52"/>
    </row>
    <row r="23" ht="18.0" customHeight="1">
      <c r="A23" s="50" t="s">
        <v>173</v>
      </c>
      <c r="B23" s="51"/>
      <c r="C23" s="51"/>
      <c r="D23" s="51"/>
      <c r="E23" s="51"/>
      <c r="F23" s="51"/>
      <c r="G23" s="51"/>
      <c r="H23" s="51"/>
      <c r="I23" s="51"/>
      <c r="J23" s="51"/>
      <c r="K23" s="52"/>
    </row>
    <row r="24" ht="18.0" customHeight="1">
      <c r="A24" s="50" t="s">
        <v>174</v>
      </c>
      <c r="B24" s="51"/>
      <c r="C24" s="51"/>
      <c r="D24" s="51"/>
      <c r="E24" s="51"/>
      <c r="F24" s="51"/>
      <c r="G24" s="51"/>
      <c r="H24" s="51"/>
      <c r="I24" s="51"/>
      <c r="J24" s="51"/>
      <c r="K24" s="52"/>
    </row>
    <row r="25" ht="18.0" customHeight="1">
      <c r="A25" s="50" t="s">
        <v>175</v>
      </c>
      <c r="B25" s="51"/>
      <c r="C25" s="51"/>
      <c r="D25" s="51"/>
      <c r="E25" s="51"/>
      <c r="F25" s="51"/>
      <c r="G25" s="51"/>
      <c r="H25" s="51"/>
      <c r="I25" s="51"/>
      <c r="J25" s="51"/>
      <c r="K25" s="52"/>
    </row>
    <row r="26" ht="18.0" customHeight="1">
      <c r="A26" s="50" t="s">
        <v>121</v>
      </c>
      <c r="B26" s="51"/>
      <c r="C26" s="51"/>
      <c r="D26" s="51"/>
      <c r="E26" s="51"/>
      <c r="F26" s="51"/>
      <c r="G26" s="51"/>
      <c r="H26" s="51"/>
      <c r="I26" s="51"/>
      <c r="J26" s="51"/>
      <c r="K26" s="52"/>
    </row>
    <row r="27" ht="18.0" customHeight="1">
      <c r="A27" s="50" t="s">
        <v>118</v>
      </c>
      <c r="B27" s="51"/>
      <c r="C27" s="51"/>
      <c r="D27" s="51"/>
      <c r="E27" s="51"/>
      <c r="F27" s="51"/>
      <c r="G27" s="51"/>
      <c r="H27" s="51"/>
      <c r="I27" s="51"/>
      <c r="J27" s="51"/>
      <c r="K27" s="52"/>
    </row>
    <row r="28" ht="18.0" customHeight="1">
      <c r="A28" s="59" t="s">
        <v>193</v>
      </c>
      <c r="B28" s="60"/>
      <c r="C28" s="60"/>
      <c r="D28" s="60"/>
      <c r="E28" s="60"/>
      <c r="F28" s="60"/>
      <c r="G28" s="60"/>
      <c r="H28" s="60"/>
      <c r="I28" s="60"/>
      <c r="J28" s="60"/>
      <c r="K28" s="61"/>
    </row>
    <row r="29" ht="18.0" customHeight="1">
      <c r="A29" s="53" t="s">
        <v>123</v>
      </c>
      <c r="B29" s="54"/>
      <c r="C29" s="54"/>
      <c r="D29" s="54"/>
      <c r="E29" s="54"/>
      <c r="F29" s="54"/>
      <c r="G29" s="54"/>
      <c r="H29" s="54"/>
      <c r="I29" s="54"/>
      <c r="J29" s="54"/>
      <c r="K29" s="55"/>
    </row>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row r="1001" ht="18.0" customHeight="1"/>
    <row r="1002" ht="18.0" customHeight="1"/>
    <row r="1003" ht="18.0" customHeight="1"/>
    <row r="1004" ht="18.0" customHeight="1"/>
    <row r="1005" ht="18.0" customHeight="1"/>
    <row r="1006" ht="18.0" customHeight="1"/>
    <row r="1007" ht="18.0" customHeight="1"/>
  </sheetData>
  <hyperlinks>
    <hyperlink r:id="rId1" ref="B4"/>
    <hyperlink r:id="rId2" ref="C4"/>
    <hyperlink r:id="rId3" ref="D4"/>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62" t="s">
        <v>194</v>
      </c>
      <c r="B1" s="41" t="s">
        <v>195</v>
      </c>
      <c r="C1" s="41" t="s">
        <v>196</v>
      </c>
      <c r="D1" s="46"/>
      <c r="E1" s="46"/>
      <c r="F1" s="46"/>
      <c r="G1" s="46"/>
      <c r="H1" s="46"/>
      <c r="I1" s="46"/>
      <c r="J1" s="46"/>
      <c r="K1" s="46"/>
      <c r="L1" s="46"/>
      <c r="M1" s="46"/>
      <c r="N1" s="46"/>
      <c r="O1" s="46"/>
      <c r="P1" s="46"/>
      <c r="Q1" s="46"/>
      <c r="R1" s="46"/>
      <c r="S1" s="46"/>
      <c r="T1" s="46"/>
      <c r="U1" s="46"/>
      <c r="V1" s="46"/>
      <c r="W1" s="46"/>
      <c r="X1" s="46"/>
      <c r="Y1" s="46"/>
      <c r="Z1" s="46"/>
    </row>
    <row r="2">
      <c r="A2" s="6" t="s">
        <v>197</v>
      </c>
      <c r="B2" s="6">
        <v>575.0</v>
      </c>
      <c r="C2" s="6">
        <v>0.29</v>
      </c>
      <c r="D2" s="63">
        <f t="shared" ref="D2:D48" si="1">B2/C2</f>
        <v>1982.758621</v>
      </c>
    </row>
    <row r="3">
      <c r="A3" s="6" t="s">
        <v>198</v>
      </c>
      <c r="B3" s="6">
        <v>527.0</v>
      </c>
      <c r="C3" s="6">
        <v>0.26</v>
      </c>
      <c r="D3" s="63">
        <f t="shared" si="1"/>
        <v>2026.923077</v>
      </c>
    </row>
    <row r="4">
      <c r="A4" s="6" t="s">
        <v>199</v>
      </c>
      <c r="B4" s="6">
        <v>452.0</v>
      </c>
      <c r="C4" s="6">
        <v>0.23</v>
      </c>
      <c r="D4" s="63">
        <f t="shared" si="1"/>
        <v>1965.217391</v>
      </c>
    </row>
    <row r="5">
      <c r="A5" s="6" t="s">
        <v>200</v>
      </c>
      <c r="B5" s="6">
        <v>572.0</v>
      </c>
      <c r="C5" s="6">
        <v>0.29</v>
      </c>
      <c r="D5" s="63">
        <f t="shared" si="1"/>
        <v>1972.413793</v>
      </c>
    </row>
    <row r="6">
      <c r="A6" s="6" t="s">
        <v>201</v>
      </c>
      <c r="B6" s="6">
        <v>457.0</v>
      </c>
      <c r="C6" s="6">
        <v>0.23</v>
      </c>
      <c r="D6" s="63">
        <f t="shared" si="1"/>
        <v>1986.956522</v>
      </c>
    </row>
    <row r="7">
      <c r="A7" s="6" t="s">
        <v>202</v>
      </c>
      <c r="B7" s="6">
        <v>527.0</v>
      </c>
      <c r="C7" s="6">
        <v>0.26</v>
      </c>
      <c r="D7" s="63">
        <f t="shared" si="1"/>
        <v>2026.923077</v>
      </c>
    </row>
    <row r="8">
      <c r="A8" s="6" t="s">
        <v>203</v>
      </c>
      <c r="B8" s="6">
        <v>548.0</v>
      </c>
      <c r="C8" s="6">
        <v>0.27</v>
      </c>
      <c r="D8" s="63">
        <f t="shared" si="1"/>
        <v>2029.62963</v>
      </c>
    </row>
    <row r="9">
      <c r="A9" s="6" t="s">
        <v>204</v>
      </c>
      <c r="B9" s="6">
        <v>521.0</v>
      </c>
      <c r="C9" s="6">
        <v>0.26</v>
      </c>
      <c r="D9" s="63">
        <f t="shared" si="1"/>
        <v>2003.846154</v>
      </c>
    </row>
    <row r="10">
      <c r="A10" s="6" t="s">
        <v>205</v>
      </c>
      <c r="B10" s="6">
        <v>570.0</v>
      </c>
      <c r="C10" s="6">
        <v>0.28</v>
      </c>
      <c r="D10" s="63">
        <f t="shared" si="1"/>
        <v>2035.714286</v>
      </c>
    </row>
    <row r="11">
      <c r="A11" s="6" t="s">
        <v>206</v>
      </c>
      <c r="B11" s="6">
        <v>515.0</v>
      </c>
      <c r="C11" s="6">
        <v>0.26</v>
      </c>
      <c r="D11" s="63">
        <f t="shared" si="1"/>
        <v>1980.769231</v>
      </c>
    </row>
    <row r="12">
      <c r="A12" s="6" t="s">
        <v>207</v>
      </c>
      <c r="B12" s="6">
        <v>408.0</v>
      </c>
      <c r="C12" s="6">
        <v>0.2</v>
      </c>
      <c r="D12" s="63">
        <f t="shared" si="1"/>
        <v>2040</v>
      </c>
    </row>
    <row r="13">
      <c r="A13" s="6" t="s">
        <v>208</v>
      </c>
      <c r="B13" s="6">
        <v>476.0</v>
      </c>
      <c r="C13" s="6">
        <v>0.24</v>
      </c>
      <c r="D13" s="63">
        <f t="shared" si="1"/>
        <v>1983.333333</v>
      </c>
    </row>
    <row r="14">
      <c r="A14" s="6" t="s">
        <v>209</v>
      </c>
      <c r="B14" s="6">
        <v>439.0</v>
      </c>
      <c r="C14" s="6">
        <v>0.22</v>
      </c>
      <c r="D14" s="63">
        <f t="shared" si="1"/>
        <v>1995.454545</v>
      </c>
    </row>
    <row r="15">
      <c r="A15" s="6" t="s">
        <v>210</v>
      </c>
      <c r="B15" s="6">
        <v>464.0</v>
      </c>
      <c r="C15" s="6">
        <v>0.23</v>
      </c>
      <c r="D15" s="63">
        <f t="shared" si="1"/>
        <v>2017.391304</v>
      </c>
    </row>
    <row r="16">
      <c r="A16" s="6" t="s">
        <v>211</v>
      </c>
      <c r="B16" s="6">
        <v>479.0</v>
      </c>
      <c r="C16" s="6">
        <v>0.24</v>
      </c>
      <c r="D16" s="63">
        <f t="shared" si="1"/>
        <v>1995.833333</v>
      </c>
    </row>
    <row r="17">
      <c r="A17" s="6" t="s">
        <v>212</v>
      </c>
      <c r="B17" s="6">
        <v>499.0</v>
      </c>
      <c r="C17" s="6">
        <v>0.25</v>
      </c>
      <c r="D17" s="63">
        <f t="shared" si="1"/>
        <v>1996</v>
      </c>
    </row>
    <row r="18">
      <c r="A18" s="6" t="s">
        <v>213</v>
      </c>
      <c r="B18" s="6">
        <v>459.0</v>
      </c>
      <c r="C18" s="6">
        <v>0.23</v>
      </c>
      <c r="D18" s="63">
        <f t="shared" si="1"/>
        <v>1995.652174</v>
      </c>
    </row>
    <row r="19">
      <c r="A19" s="6" t="s">
        <v>214</v>
      </c>
      <c r="B19" s="6">
        <v>510.0</v>
      </c>
      <c r="C19" s="6">
        <v>0.26</v>
      </c>
      <c r="D19" s="63">
        <f t="shared" si="1"/>
        <v>1961.538462</v>
      </c>
    </row>
    <row r="20">
      <c r="A20" s="6" t="s">
        <v>215</v>
      </c>
      <c r="B20" s="6">
        <v>516.0</v>
      </c>
      <c r="C20" s="6">
        <v>0.26</v>
      </c>
      <c r="D20" s="63">
        <f t="shared" si="1"/>
        <v>1984.615385</v>
      </c>
    </row>
    <row r="21">
      <c r="A21" s="6" t="s">
        <v>216</v>
      </c>
      <c r="B21" s="6">
        <v>424.0</v>
      </c>
      <c r="C21" s="6">
        <v>0.21</v>
      </c>
      <c r="D21" s="63">
        <f t="shared" si="1"/>
        <v>2019.047619</v>
      </c>
    </row>
    <row r="22">
      <c r="A22" s="6" t="s">
        <v>217</v>
      </c>
      <c r="B22" s="6">
        <v>422.0</v>
      </c>
      <c r="C22" s="6">
        <v>0.21</v>
      </c>
      <c r="D22" s="63">
        <f t="shared" si="1"/>
        <v>2009.52381</v>
      </c>
    </row>
    <row r="23">
      <c r="A23" s="6" t="s">
        <v>218</v>
      </c>
      <c r="B23" s="6">
        <v>494.0</v>
      </c>
      <c r="C23" s="6">
        <v>0.25</v>
      </c>
      <c r="D23" s="63">
        <f t="shared" si="1"/>
        <v>1976</v>
      </c>
    </row>
    <row r="24">
      <c r="A24" s="6" t="s">
        <v>219</v>
      </c>
      <c r="B24" s="6">
        <v>606.0</v>
      </c>
      <c r="C24" s="6">
        <v>0.3</v>
      </c>
      <c r="D24" s="63">
        <f t="shared" si="1"/>
        <v>2020</v>
      </c>
    </row>
    <row r="25">
      <c r="A25" s="6" t="s">
        <v>220</v>
      </c>
      <c r="B25" s="6">
        <v>490.0</v>
      </c>
      <c r="C25" s="6">
        <v>0.24</v>
      </c>
      <c r="D25" s="63">
        <f t="shared" si="1"/>
        <v>2041.666667</v>
      </c>
    </row>
    <row r="26">
      <c r="A26" s="6" t="s">
        <v>221</v>
      </c>
      <c r="B26" s="6">
        <v>453.0</v>
      </c>
      <c r="C26" s="6">
        <v>0.23</v>
      </c>
      <c r="D26" s="63">
        <f t="shared" si="1"/>
        <v>1969.565217</v>
      </c>
    </row>
    <row r="27">
      <c r="A27" s="6" t="s">
        <v>222</v>
      </c>
      <c r="B27" s="6">
        <v>485.0</v>
      </c>
      <c r="C27" s="6">
        <v>0.24</v>
      </c>
      <c r="D27" s="63">
        <f t="shared" si="1"/>
        <v>2020.833333</v>
      </c>
    </row>
    <row r="28">
      <c r="A28" s="6" t="s">
        <v>223</v>
      </c>
      <c r="B28" s="6">
        <v>514.0</v>
      </c>
      <c r="C28" s="6">
        <v>0.26</v>
      </c>
      <c r="D28" s="63">
        <f t="shared" si="1"/>
        <v>1976.923077</v>
      </c>
    </row>
    <row r="29">
      <c r="A29" s="6" t="s">
        <v>224</v>
      </c>
      <c r="B29" s="6">
        <v>505.0</v>
      </c>
      <c r="C29" s="6">
        <v>0.25</v>
      </c>
      <c r="D29" s="63">
        <f t="shared" si="1"/>
        <v>2020</v>
      </c>
    </row>
    <row r="30">
      <c r="A30" s="6" t="s">
        <v>225</v>
      </c>
      <c r="B30" s="6">
        <v>374.0</v>
      </c>
      <c r="C30" s="6">
        <v>0.19</v>
      </c>
      <c r="D30" s="63">
        <f t="shared" si="1"/>
        <v>1968.421053</v>
      </c>
    </row>
    <row r="31">
      <c r="A31" s="6" t="s">
        <v>226</v>
      </c>
      <c r="B31" s="6">
        <v>489.0</v>
      </c>
      <c r="C31" s="6">
        <v>0.24</v>
      </c>
      <c r="D31" s="63">
        <f t="shared" si="1"/>
        <v>2037.5</v>
      </c>
    </row>
    <row r="32">
      <c r="A32" s="6" t="s">
        <v>227</v>
      </c>
      <c r="B32" s="6">
        <v>469.0</v>
      </c>
      <c r="C32" s="6">
        <v>0.23</v>
      </c>
      <c r="D32" s="63">
        <f t="shared" si="1"/>
        <v>2039.130435</v>
      </c>
    </row>
    <row r="33">
      <c r="A33" s="6" t="s">
        <v>228</v>
      </c>
      <c r="B33" s="6">
        <v>405.0</v>
      </c>
      <c r="C33" s="6">
        <v>0.2</v>
      </c>
      <c r="D33" s="63">
        <f t="shared" si="1"/>
        <v>2025</v>
      </c>
    </row>
    <row r="34">
      <c r="A34" s="6" t="s">
        <v>229</v>
      </c>
      <c r="B34" s="6">
        <v>499.0</v>
      </c>
      <c r="C34" s="6">
        <v>0.25</v>
      </c>
      <c r="D34" s="63">
        <f t="shared" si="1"/>
        <v>1996</v>
      </c>
    </row>
    <row r="35">
      <c r="A35" s="6" t="s">
        <v>230</v>
      </c>
      <c r="B35" s="6">
        <v>479.0</v>
      </c>
      <c r="C35" s="6">
        <v>0.24</v>
      </c>
      <c r="D35" s="63">
        <f t="shared" si="1"/>
        <v>1995.833333</v>
      </c>
    </row>
    <row r="36">
      <c r="A36" s="6" t="s">
        <v>231</v>
      </c>
      <c r="B36" s="6">
        <v>600.0</v>
      </c>
      <c r="C36" s="6">
        <v>0.3</v>
      </c>
      <c r="D36" s="63">
        <f t="shared" si="1"/>
        <v>2000</v>
      </c>
    </row>
    <row r="37">
      <c r="A37" s="6" t="s">
        <v>232</v>
      </c>
      <c r="B37" s="6">
        <v>460.0</v>
      </c>
      <c r="C37" s="6">
        <v>0.23</v>
      </c>
      <c r="D37" s="63">
        <f t="shared" si="1"/>
        <v>2000</v>
      </c>
    </row>
    <row r="38">
      <c r="A38" s="6" t="s">
        <v>233</v>
      </c>
      <c r="B38" s="6">
        <v>496.0</v>
      </c>
      <c r="C38" s="6">
        <v>0.25</v>
      </c>
      <c r="D38" s="63">
        <f t="shared" si="1"/>
        <v>1984</v>
      </c>
    </row>
    <row r="39">
      <c r="A39" s="6" t="s">
        <v>234</v>
      </c>
      <c r="B39" s="6">
        <v>499.0</v>
      </c>
      <c r="C39" s="6">
        <v>0.25</v>
      </c>
      <c r="D39" s="63">
        <f t="shared" si="1"/>
        <v>1996</v>
      </c>
    </row>
    <row r="40">
      <c r="A40" s="6" t="s">
        <v>235</v>
      </c>
      <c r="B40" s="6">
        <v>410.0</v>
      </c>
      <c r="C40" s="6">
        <v>0.2</v>
      </c>
      <c r="D40" s="63">
        <f t="shared" si="1"/>
        <v>2050</v>
      </c>
    </row>
    <row r="41">
      <c r="A41" s="6" t="s">
        <v>236</v>
      </c>
      <c r="B41" s="6">
        <v>503.0</v>
      </c>
      <c r="C41" s="6">
        <v>0.25</v>
      </c>
      <c r="D41" s="63">
        <f t="shared" si="1"/>
        <v>2012</v>
      </c>
    </row>
    <row r="42">
      <c r="A42" s="6" t="s">
        <v>237</v>
      </c>
      <c r="B42" s="6">
        <v>571.0</v>
      </c>
      <c r="C42" s="6">
        <v>0.29</v>
      </c>
      <c r="D42" s="63">
        <f t="shared" si="1"/>
        <v>1968.965517</v>
      </c>
    </row>
    <row r="43">
      <c r="A43" s="6" t="s">
        <v>238</v>
      </c>
      <c r="B43" s="6">
        <v>537.0</v>
      </c>
      <c r="C43" s="6">
        <v>0.27</v>
      </c>
      <c r="D43" s="63">
        <f t="shared" si="1"/>
        <v>1988.888889</v>
      </c>
    </row>
    <row r="44">
      <c r="A44" s="6" t="s">
        <v>239</v>
      </c>
      <c r="B44" s="6">
        <v>450.0</v>
      </c>
      <c r="C44" s="6">
        <v>0.23</v>
      </c>
      <c r="D44" s="63">
        <f t="shared" si="1"/>
        <v>1956.521739</v>
      </c>
    </row>
    <row r="45">
      <c r="A45" s="6" t="s">
        <v>240</v>
      </c>
      <c r="B45" s="6">
        <v>519.0</v>
      </c>
      <c r="C45" s="6">
        <v>0.26</v>
      </c>
      <c r="D45" s="63">
        <f t="shared" si="1"/>
        <v>1996.153846</v>
      </c>
    </row>
    <row r="46">
      <c r="A46" s="6" t="s">
        <v>241</v>
      </c>
      <c r="B46" s="6">
        <v>523.0</v>
      </c>
      <c r="C46" s="6">
        <v>0.26</v>
      </c>
      <c r="D46" s="63">
        <f t="shared" si="1"/>
        <v>2011.538462</v>
      </c>
    </row>
    <row r="47">
      <c r="A47" s="6" t="s">
        <v>242</v>
      </c>
      <c r="B47" s="6">
        <v>692.0</v>
      </c>
      <c r="C47" s="6">
        <v>0.35</v>
      </c>
      <c r="D47" s="63">
        <f t="shared" si="1"/>
        <v>1977.142857</v>
      </c>
    </row>
    <row r="48">
      <c r="A48" s="6" t="s">
        <v>243</v>
      </c>
      <c r="B48" s="6">
        <v>382.0</v>
      </c>
      <c r="C48" s="6">
        <v>0.19</v>
      </c>
      <c r="D48" s="63">
        <f t="shared" si="1"/>
        <v>2010.526316</v>
      </c>
    </row>
    <row r="49">
      <c r="A49" s="64">
        <f>average(C2:C48)</f>
        <v>0.2474468085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ht="33.0" customHeight="1">
      <c r="A1" s="65" t="s">
        <v>194</v>
      </c>
      <c r="B1" s="41" t="s">
        <v>244</v>
      </c>
      <c r="C1" s="46"/>
      <c r="D1" s="46"/>
      <c r="E1" s="46"/>
      <c r="F1" s="46"/>
      <c r="G1" s="46"/>
      <c r="H1" s="46"/>
      <c r="I1" s="46"/>
      <c r="J1" s="46"/>
      <c r="K1" s="46"/>
      <c r="L1" s="46"/>
      <c r="M1" s="46"/>
      <c r="N1" s="46"/>
      <c r="O1" s="46"/>
      <c r="P1" s="46"/>
      <c r="Q1" s="46"/>
      <c r="R1" s="46"/>
      <c r="S1" s="46"/>
      <c r="T1" s="46"/>
      <c r="U1" s="46"/>
      <c r="V1" s="46"/>
      <c r="W1" s="46"/>
      <c r="X1" s="46"/>
      <c r="Y1" s="46"/>
      <c r="Z1" s="46"/>
    </row>
    <row r="2">
      <c r="A2" s="6" t="s">
        <v>197</v>
      </c>
      <c r="B2" s="66">
        <v>0.85</v>
      </c>
    </row>
    <row r="3">
      <c r="A3" s="6" t="s">
        <v>198</v>
      </c>
      <c r="B3" s="66">
        <v>0.95</v>
      </c>
    </row>
    <row r="4">
      <c r="A4" s="6" t="s">
        <v>199</v>
      </c>
      <c r="B4" s="66">
        <v>0.75</v>
      </c>
    </row>
    <row r="5">
      <c r="A5" s="6" t="s">
        <v>200</v>
      </c>
      <c r="B5" s="66">
        <v>1.2</v>
      </c>
    </row>
    <row r="6">
      <c r="A6" s="6" t="s">
        <v>201</v>
      </c>
      <c r="B6" s="66">
        <v>1.05</v>
      </c>
    </row>
    <row r="7">
      <c r="A7" s="6" t="s">
        <v>202</v>
      </c>
      <c r="B7" s="66">
        <v>1.05</v>
      </c>
    </row>
    <row r="8">
      <c r="A8" s="6" t="s">
        <v>203</v>
      </c>
      <c r="B8" s="66">
        <v>1.0</v>
      </c>
    </row>
    <row r="9">
      <c r="A9" s="6" t="s">
        <v>204</v>
      </c>
      <c r="B9" s="66">
        <v>1.35</v>
      </c>
    </row>
    <row r="10">
      <c r="A10" s="6" t="s">
        <v>205</v>
      </c>
      <c r="B10" s="66">
        <v>1.0</v>
      </c>
    </row>
    <row r="11">
      <c r="A11" s="6" t="s">
        <v>206</v>
      </c>
      <c r="B11" s="66">
        <v>0.85</v>
      </c>
    </row>
    <row r="12">
      <c r="A12" s="6" t="s">
        <v>207</v>
      </c>
      <c r="B12" s="66">
        <v>0.9</v>
      </c>
    </row>
    <row r="13">
      <c r="A13" s="6" t="s">
        <v>208</v>
      </c>
      <c r="B13" s="66">
        <v>0.85</v>
      </c>
    </row>
    <row r="14">
      <c r="A14" s="6" t="s">
        <v>209</v>
      </c>
      <c r="B14" s="66">
        <v>0.8</v>
      </c>
    </row>
    <row r="15">
      <c r="A15" s="6" t="s">
        <v>210</v>
      </c>
      <c r="B15" s="66">
        <v>0.8</v>
      </c>
    </row>
    <row r="16">
      <c r="A16" s="6" t="s">
        <v>211</v>
      </c>
      <c r="B16" s="66">
        <v>0.8</v>
      </c>
    </row>
    <row r="17">
      <c r="A17" s="6" t="s">
        <v>212</v>
      </c>
      <c r="B17" s="66">
        <v>1.2</v>
      </c>
    </row>
    <row r="18">
      <c r="A18" s="6" t="s">
        <v>213</v>
      </c>
      <c r="B18" s="66">
        <v>0.95</v>
      </c>
    </row>
    <row r="19">
      <c r="A19" s="6" t="s">
        <v>214</v>
      </c>
      <c r="B19" s="66">
        <v>1.05</v>
      </c>
    </row>
    <row r="20">
      <c r="A20" s="6" t="s">
        <v>215</v>
      </c>
      <c r="B20" s="66">
        <v>1.1</v>
      </c>
    </row>
    <row r="21">
      <c r="A21" s="6" t="s">
        <v>216</v>
      </c>
      <c r="B21" s="66">
        <v>0.95</v>
      </c>
    </row>
    <row r="22">
      <c r="A22" s="6" t="s">
        <v>217</v>
      </c>
      <c r="B22" s="66">
        <v>0.85</v>
      </c>
    </row>
    <row r="23">
      <c r="A23" s="6" t="s">
        <v>218</v>
      </c>
      <c r="B23" s="66">
        <v>1.1</v>
      </c>
    </row>
    <row r="24">
      <c r="A24" s="6" t="s">
        <v>219</v>
      </c>
      <c r="B24" s="66">
        <v>0.8</v>
      </c>
    </row>
    <row r="25">
      <c r="A25" s="6" t="s">
        <v>220</v>
      </c>
      <c r="B25" s="66">
        <v>0.85</v>
      </c>
    </row>
    <row r="26">
      <c r="A26" s="6" t="s">
        <v>221</v>
      </c>
      <c r="B26" s="66">
        <v>0.75</v>
      </c>
    </row>
    <row r="27">
      <c r="A27" s="6" t="s">
        <v>222</v>
      </c>
      <c r="B27" s="66">
        <v>1.05</v>
      </c>
    </row>
    <row r="28">
      <c r="A28" s="6" t="s">
        <v>223</v>
      </c>
      <c r="B28" s="66">
        <v>1.0</v>
      </c>
    </row>
    <row r="29">
      <c r="A29" s="6" t="s">
        <v>224</v>
      </c>
      <c r="B29" s="66">
        <v>1.15</v>
      </c>
    </row>
    <row r="30">
      <c r="A30" s="6" t="s">
        <v>225</v>
      </c>
      <c r="B30" s="66">
        <v>0.85</v>
      </c>
    </row>
    <row r="31">
      <c r="A31" s="6" t="s">
        <v>226</v>
      </c>
      <c r="B31" s="66">
        <v>1.1</v>
      </c>
    </row>
    <row r="32">
      <c r="A32" s="6" t="s">
        <v>227</v>
      </c>
      <c r="B32" s="66">
        <v>1.05</v>
      </c>
    </row>
    <row r="33">
      <c r="A33" s="6" t="s">
        <v>228</v>
      </c>
      <c r="B33" s="66">
        <v>0.7</v>
      </c>
    </row>
    <row r="34">
      <c r="A34" s="6" t="s">
        <v>229</v>
      </c>
      <c r="B34" s="66">
        <v>0.85</v>
      </c>
    </row>
    <row r="35">
      <c r="A35" s="6" t="s">
        <v>230</v>
      </c>
      <c r="B35" s="66">
        <v>0.8</v>
      </c>
    </row>
    <row r="36">
      <c r="A36" s="6" t="s">
        <v>231</v>
      </c>
      <c r="B36" s="66">
        <v>1.15</v>
      </c>
    </row>
    <row r="37">
      <c r="A37" s="6" t="s">
        <v>232</v>
      </c>
      <c r="B37" s="66">
        <v>1.0</v>
      </c>
    </row>
    <row r="38">
      <c r="A38" s="6" t="s">
        <v>233</v>
      </c>
      <c r="B38" s="66">
        <v>1.1</v>
      </c>
    </row>
    <row r="39">
      <c r="A39" s="6" t="s">
        <v>234</v>
      </c>
      <c r="B39" s="66">
        <v>1.1</v>
      </c>
    </row>
    <row r="40">
      <c r="A40" s="6" t="s">
        <v>235</v>
      </c>
      <c r="B40" s="66">
        <v>0.75</v>
      </c>
    </row>
    <row r="41">
      <c r="A41" s="6" t="s">
        <v>236</v>
      </c>
      <c r="B41" s="66">
        <v>0.85</v>
      </c>
    </row>
    <row r="42">
      <c r="A42" s="6" t="s">
        <v>237</v>
      </c>
      <c r="B42" s="66">
        <v>1.2</v>
      </c>
    </row>
    <row r="43">
      <c r="A43" s="6" t="s">
        <v>238</v>
      </c>
      <c r="B43" s="66">
        <v>0.85</v>
      </c>
    </row>
    <row r="44">
      <c r="A44" s="6" t="s">
        <v>239</v>
      </c>
      <c r="B44" s="66">
        <v>0.95</v>
      </c>
    </row>
    <row r="45">
      <c r="A45" s="6" t="s">
        <v>240</v>
      </c>
      <c r="B45" s="66">
        <v>1.0</v>
      </c>
    </row>
    <row r="46">
      <c r="A46" s="6" t="s">
        <v>241</v>
      </c>
      <c r="B46" s="66">
        <v>1.2</v>
      </c>
    </row>
    <row r="47">
      <c r="A47" s="6" t="s">
        <v>242</v>
      </c>
      <c r="B47" s="66">
        <v>0.85</v>
      </c>
    </row>
    <row r="48">
      <c r="A48" s="6" t="s">
        <v>243</v>
      </c>
      <c r="B48" s="66">
        <v>0.8</v>
      </c>
    </row>
  </sheetData>
  <drawing r:id="rId1"/>
</worksheet>
</file>